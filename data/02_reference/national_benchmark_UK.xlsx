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K large produc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<sst xmlns="http://schemas.openxmlformats.org/spreadsheetml/2006/main" count="15" uniqueCount="15">
  <si>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Material</t>
  </si>
  <si>
    <t xml:space="preserve">2024 total supplied (t)</t>
  </si>
  <si>
    <t xml:space="preserve">2025 total supplied (t)</t>
  </si>
  <si>
    <t xml:space="preserve">2025 share of total</t>
  </si>
  <si>
    <t xml:space="preserve">Change 2024 to 2025</t>
  </si>
  <si>
    <t xml:space="preserve">Aluminium</t>
  </si>
  <si>
    <t xml:space="preserve">Fibre Composite</t>
  </si>
  <si>
    <t xml:space="preserve">Glass</t>
  </si>
  <si>
    <t xml:space="preserve">Other</t>
  </si>
  <si>
    <t xml:space="preserve">Paper / Card</t>
  </si>
  <si>
    <t xml:space="preserve">Plastic</t>
  </si>
  <si>
    <t xml:space="preserve">Steel</t>
  </si>
  <si>
    <t xml:space="preserve">Wood</t>
  </si>
  <si>
    <t xml:space="preserve">TOTAL</t>
  </si>
  <si>
    <t xml:space="preserve">Source: Environment Agency NPWD, pEPR 2023, 2024 and 2025 Reported Packaging Data, extract 09/09/2026, sheets LP_2024_weight_summary and LP_2025_weight_summary, row Total Supplied.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</si>
</sst>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237497.9</v>
      </c>
      <c r="C2" s="3" t="n">
        <v>246179.4</v>
      </c>
      <c r="D2" s="4" t="n">
        <f aca="false">C2/SUM($C$2:$C$9)</f>
        <v>0.0224401223145519</v>
      </c>
      <c r="E2" s="4" t="n">
        <f aca="false">IF(B2=0,"",C2/B2-1)</f>
        <v>0.0365540074249078</v>
      </c>
    </row>
    <row r="3" customFormat="false" ht="15" hidden="false" customHeight="false" outlineLevel="0" collapsed="false">
      <c r="A3" s="2" t="s">
        <v>6</v>
      </c>
      <c r="B3" s="3" t="n">
        <v>138500.2</v>
      </c>
      <c r="C3" s="3" t="n">
        <v>126262.9</v>
      </c>
      <c r="D3" s="4" t="n">
        <f aca="false">C3/SUM($C$2:$C$9)</f>
        <v>0.0115093095514492</v>
      </c>
      <c r="E3" s="4" t="n">
        <f aca="false">IF(B3=0,"",C3/B3-1)</f>
        <v>-0.0883558290890556</v>
      </c>
    </row>
    <row r="4" customFormat="false" ht="15" hidden="false" customHeight="false" outlineLevel="0" collapsed="false">
      <c r="A4" s="2" t="s">
        <v>7</v>
      </c>
      <c r="B4" s="3" t="n">
        <v>2214776.7</v>
      </c>
      <c r="C4" s="3" t="n">
        <v>2163147</v>
      </c>
      <c r="D4" s="4" t="n">
        <f aca="false">C4/SUM($C$2:$C$9)</f>
        <v>0.197178493669073</v>
      </c>
      <c r="E4" s="4" t="n">
        <f aca="false">IF(B4=0,"",C4/B4-1)</f>
        <v>-0.0233114697296573</v>
      </c>
    </row>
    <row r="5" customFormat="false" ht="15" hidden="false" customHeight="false" outlineLevel="0" collapsed="false">
      <c r="A5" s="2" t="s">
        <v>8</v>
      </c>
      <c r="B5" s="3" t="n">
        <v>17825.2</v>
      </c>
      <c r="C5" s="3" t="n">
        <v>24204</v>
      </c>
      <c r="D5" s="4" t="n">
        <f aca="false">C5/SUM($C$2:$C$9)</f>
        <v>0.00220628013758022</v>
      </c>
      <c r="E5" s="4" t="n">
        <f aca="false">IF(B5=0,"",C5/B5-1)</f>
        <v>0.357852927316384</v>
      </c>
    </row>
    <row r="6" customFormat="false" ht="15" hidden="false" customHeight="false" outlineLevel="0" collapsed="false">
      <c r="A6" s="2" t="s">
        <v>9</v>
      </c>
      <c r="B6" s="3" t="n">
        <v>4682678</v>
      </c>
      <c r="C6" s="3" t="n">
        <v>4682297.7</v>
      </c>
      <c r="D6" s="4" t="n">
        <f aca="false">C6/SUM($C$2:$C$9)</f>
        <v>0.426807982719696</v>
      </c>
      <c r="E6" s="4" t="n">
        <f aca="false">IF(B6=0,"",C6/B6-1)</f>
        <v>-8.12142111842329E-005</v>
      </c>
    </row>
    <row r="7" customFormat="false" ht="15" hidden="false" customHeight="false" outlineLevel="0" collapsed="false">
      <c r="A7" s="2" t="s">
        <v>10</v>
      </c>
      <c r="B7" s="3" t="n">
        <v>2147075.5</v>
      </c>
      <c r="C7" s="3" t="n">
        <v>2094785.5</v>
      </c>
      <c r="D7" s="4" t="n">
        <f aca="false">C7/SUM($C$2:$C$9)</f>
        <v>0.190947101352712</v>
      </c>
      <c r="E7" s="4" t="n">
        <f aca="false">IF(B7=0,"",C7/B7-1)</f>
        <v>-0.024354057414376</v>
      </c>
    </row>
    <row r="8" customFormat="false" ht="15" hidden="false" customHeight="false" outlineLevel="0" collapsed="false">
      <c r="A8" s="2" t="s">
        <v>11</v>
      </c>
      <c r="B8" s="3" t="n">
        <v>442864.4</v>
      </c>
      <c r="C8" s="3" t="n">
        <v>417390.6</v>
      </c>
      <c r="D8" s="4" t="n">
        <f aca="false">C8/SUM($C$2:$C$9)</f>
        <v>0.0380466282594897</v>
      </c>
      <c r="E8" s="4" t="n">
        <f aca="false">IF(B8=0,"",C8/B8-1)</f>
        <v>-0.0575205412762915</v>
      </c>
    </row>
    <row r="9" customFormat="false" ht="15" hidden="false" customHeight="false" outlineLevel="0" collapsed="false">
      <c r="A9" s="2" t="s">
        <v>12</v>
      </c>
      <c r="B9" s="3" t="n">
        <v>1223790.9</v>
      </c>
      <c r="C9" s="3" t="n">
        <v>1216234.6</v>
      </c>
      <c r="D9" s="4" t="n">
        <f aca="false">C9/SUM($C$2:$C$9)</f>
        <v>0.110864081995448</v>
      </c>
      <c r="E9" s="4" t="n">
        <f aca="false">IF(B9=0,"",C9/B9-1)</f>
        <v>-0.0061745025232659</v>
      </c>
    </row>
    <row r="10" customFormat="false" ht="15" hidden="false" customHeight="false" outlineLevel="0" collapsed="false">
      <c r="A10" s="2" t="s">
        <v>13</v>
      </c>
      <c r="B10" s="3" t="n">
        <f aca="false">SUM(B2:B9)</f>
        <v>11105008.8</v>
      </c>
      <c r="C10" s="3" t="n">
        <f aca="false">SUM(C2:C9)</f>
        <v>10970501.7</v>
      </c>
      <c r="D10" s="4" t="n">
        <f aca="false">SUM(D2:D9)</f>
        <v>1</v>
      </c>
      <c r="E10" s="4" t="n">
        <f aca="false">C10/B10-1</f>
        <v>-0.0121122911672074</v>
      </c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2" t="s">
        <v>14</v>
      </c>
      <c r="B12" s="2"/>
      <c r="C12" s="2"/>
      <c r="D12" s="2"/>
      <c r="E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2026-09-22T16:40:17Z</dcterms:created>
  <dc:creator>openpyxl</dc:creator>
  <dc:description/>
  <dc:language>en-US</dc:language>
  <cp:lastModifiedBy/>
  <dcterms:modified xsi:type="dcterms:W3CDTF">2026-09-22T16:40:17Z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