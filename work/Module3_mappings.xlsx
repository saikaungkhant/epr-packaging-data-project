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2240EEA70EBB0C191E5B0F414C2E172CBFAB4A0E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 me" sheetId="1" r:id="rId1"/>
    <sheet name="Mappings" sheetId="2" r:id="rId2"/>
    <sheet name="Rules" sheetId="3" r:id="rId3"/>
    <sheet name="Weight units" sheetId="4" r:id="rId4"/>
    <sheet name="Blank check" sheetId="5" r:id="rId5"/>
  </sheets>
  <definedNames>
    <definedName name="_xlnm._FilterDatabase" localSheetId="1" hidden="1">Mappings!$A$1:$E$122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4" l="1"/>
</calcChain>
</file>

<file path=xl/sharedStrings.xml><?xml version="1.0" encoding="utf-8"?>
<sst xmlns="http://schemas.openxmlformats.org/spreadsheetml/2006/main" count="534" uniqueCount="238">
  <si>
    <t>Mappings for Raw_All (Module 3)</t>
  </si>
  <si>
    <t>What each sheet is</t>
  </si>
  <si>
    <t>Mappings: every raw value found in Raw_All, with its target code. Paste this sheet into master_2025.xlsx and look up against it.</t>
  </si>
  <si>
    <t>Rules: cases a simple lookup cannot handle. Apply these after the lookup.</t>
  </si>
  <si>
    <t>Weight units: conversion factors to kg.</t>
  </si>
  <si>
    <t>Blank check: which blanks are expected and which two you still need to investigate. Fill in the blue column.</t>
  </si>
  <si>
    <t>Colour key</t>
  </si>
  <si>
    <t>Yellow rows = judgement calls (EPR knowledge, not just spelling). Worth reading the note before you trust them.</t>
  </si>
  <si>
    <t>Blue cells = for you to fill in.</t>
  </si>
  <si>
    <t>Lookup formula for a clean column (example: material, raw value in E2)</t>
  </si>
  <si>
    <t>=XLOOKUP("material|"&amp;TRIM(E2), Mappings!$A$2:$A$200&amp;"|"&amp;Mappings!$B$2:$B$200, Mappings!$C$2:$C$200, "UNMAPPED")</t>
  </si>
  <si>
    <t>Change "material" to class, type, nation or period, and E2 to the matching raw column. Filter each clean column for UNMAPPED at the end: it should be zero.</t>
  </si>
  <si>
    <t>Three things to know</t>
  </si>
  <si>
    <t>1. Raw values are listed trimmed. The formula uses TRIM, so "Plastic  " with trailing spaces still matches "Plastic".</t>
  </si>
  <si>
    <t>2. XLOOKUP ignores case, so one row covers every capitalisation: "Primary" also matches "PRIMARY", "Eng" also matches "ENG".</t>
  </si>
  <si>
    <t>3. 45838 and 46022 are Excel date serials: 30 Jun 2025 and 31 Dec 2025.</t>
  </si>
  <si>
    <t>field</t>
  </si>
  <si>
    <t>raw_value</t>
  </si>
  <si>
    <t>target</t>
  </si>
  <si>
    <t>judgement</t>
  </si>
  <si>
    <t>note</t>
  </si>
  <si>
    <t>material</t>
  </si>
  <si>
    <t>PL</t>
  </si>
  <si>
    <t>Plastic</t>
  </si>
  <si>
    <t>Plastics</t>
  </si>
  <si>
    <t>Plastik</t>
  </si>
  <si>
    <t>plastic film</t>
  </si>
  <si>
    <t>PP plastic</t>
  </si>
  <si>
    <t>PP</t>
  </si>
  <si>
    <t>HDPE</t>
  </si>
  <si>
    <t>LDPE</t>
  </si>
  <si>
    <t>PLA</t>
  </si>
  <si>
    <t>Yes</t>
  </si>
  <si>
    <t>CBH code for plastic. In packaging PLA can also mean polylactic acid, a plant-based plastic. Still PL either way.</t>
  </si>
  <si>
    <t>PC</t>
  </si>
  <si>
    <t>Paper/Card</t>
  </si>
  <si>
    <t>Paper / Card</t>
  </si>
  <si>
    <t>Paper</t>
  </si>
  <si>
    <t>Card</t>
  </si>
  <si>
    <t>Cardboard</t>
  </si>
  <si>
    <t>corrugated</t>
  </si>
  <si>
    <t>PAPERBOARD</t>
  </si>
  <si>
    <t>GGS US code. Thick card, so PC.</t>
  </si>
  <si>
    <t>KRAFT</t>
  </si>
  <si>
    <t>GGS US code. Brown paper, so PC.</t>
  </si>
  <si>
    <t>PAP</t>
  </si>
  <si>
    <t>CBH code: paper.</t>
  </si>
  <si>
    <t>Composite</t>
  </si>
  <si>
    <t>FC</t>
  </si>
  <si>
    <t>Paper bonded with plastic or foil. Its own EPR category, not paper/card.</t>
  </si>
  <si>
    <t>Fibre composite</t>
  </si>
  <si>
    <t>Same as above.</t>
  </si>
  <si>
    <t>Paper tube (composite)</t>
  </si>
  <si>
    <t>SSN crisp tubes: card tube lined with foil or plastic.</t>
  </si>
  <si>
    <t>GL</t>
  </si>
  <si>
    <t>Glass</t>
  </si>
  <si>
    <t>Glass (jar)</t>
  </si>
  <si>
    <t>AL</t>
  </si>
  <si>
    <t>Aluminium</t>
  </si>
  <si>
    <t>Aluminium foil</t>
  </si>
  <si>
    <t>Alu</t>
  </si>
  <si>
    <t>Alu tube</t>
  </si>
  <si>
    <t>ST</t>
  </si>
  <si>
    <t>Steel</t>
  </si>
  <si>
    <t>Tinplate</t>
  </si>
  <si>
    <t>Steel with a thin tin coating, so steel.</t>
  </si>
  <si>
    <t>MET-ST</t>
  </si>
  <si>
    <t>CBH code: metal, steel.</t>
  </si>
  <si>
    <t>WD</t>
  </si>
  <si>
    <t>Wood</t>
  </si>
  <si>
    <t>WOO</t>
  </si>
  <si>
    <t>CBH code: wood.</t>
  </si>
  <si>
    <t>OT</t>
  </si>
  <si>
    <t>Cotton</t>
  </si>
  <si>
    <t>Not one of the named materials, so Other.</t>
  </si>
  <si>
    <t>Bamboo</t>
  </si>
  <si>
    <t>class</t>
  </si>
  <si>
    <t>P1</t>
  </si>
  <si>
    <t>Primary</t>
  </si>
  <si>
    <t>prim</t>
  </si>
  <si>
    <t>PRI</t>
  </si>
  <si>
    <t>P2</t>
  </si>
  <si>
    <t>Secondary</t>
  </si>
  <si>
    <t>2nd</t>
  </si>
  <si>
    <t>P3</t>
  </si>
  <si>
    <t>Shipment</t>
  </si>
  <si>
    <t>SHIPPING</t>
  </si>
  <si>
    <t>Transit</t>
  </si>
  <si>
    <t>Transport packaging, so shipment.</t>
  </si>
  <si>
    <t>Outer</t>
  </si>
  <si>
    <t>SSN: outer case for transport, so shipment.</t>
  </si>
  <si>
    <t>SHP</t>
  </si>
  <si>
    <t>P4</t>
  </si>
  <si>
    <t>Tertiary</t>
  </si>
  <si>
    <t>Pallet</t>
  </si>
  <si>
    <t>Pallet wrap and pallets are tertiary.</t>
  </si>
  <si>
    <t>TER</t>
  </si>
  <si>
    <t>HH Drinks - Primary</t>
  </si>
  <si>
    <t>MDC label. MDC raw_class is blank, so look this up using raw_type (see Rules).</t>
  </si>
  <si>
    <t>HH - Primary</t>
  </si>
  <si>
    <t>MDC label, see Rules.</t>
  </si>
  <si>
    <t>HH - Secondary</t>
  </si>
  <si>
    <t>NHH - Primary</t>
  </si>
  <si>
    <t>NHH - Shipment</t>
  </si>
  <si>
    <t>NHH - Tertiary</t>
  </si>
  <si>
    <t>type</t>
  </si>
  <si>
    <t>HH</t>
  </si>
  <si>
    <t>Household</t>
  </si>
  <si>
    <t>Consumer</t>
  </si>
  <si>
    <t>Retail</t>
  </si>
  <si>
    <t>CCR channel: sold to consumers. Shipping cases override to NH (see Rules).</t>
  </si>
  <si>
    <t>Online shop</t>
  </si>
  <si>
    <t>CCR channel: sold to consumers. P3 override applies.</t>
  </si>
  <si>
    <t>NH</t>
  </si>
  <si>
    <t>Non-household</t>
  </si>
  <si>
    <t>NHH</t>
  </si>
  <si>
    <t>Business</t>
  </si>
  <si>
    <t>B2B</t>
  </si>
  <si>
    <t>Wholesale</t>
  </si>
  <si>
    <t>CCR channel: sold to businesses.</t>
  </si>
  <si>
    <t>Cafe</t>
  </si>
  <si>
    <t>Café</t>
  </si>
  <si>
    <t>Same as Cafe, accented spelling.</t>
  </si>
  <si>
    <t>HDC</t>
  </si>
  <si>
    <t>Household drinks</t>
  </si>
  <si>
    <t>Mapped as the client wrote it. Paper/card can never be HDC, so Module 4 must flag these rows. Do not fix it here.</t>
  </si>
  <si>
    <t>nation</t>
  </si>
  <si>
    <t>EN</t>
  </si>
  <si>
    <t>England</t>
  </si>
  <si>
    <t>Eng</t>
  </si>
  <si>
    <t>Also covers ENG (CBH, GGS).</t>
  </si>
  <si>
    <t>SC</t>
  </si>
  <si>
    <t>Scotland</t>
  </si>
  <si>
    <t>Sco</t>
  </si>
  <si>
    <t>SCT</t>
  </si>
  <si>
    <t>WS</t>
  </si>
  <si>
    <t>Wales</t>
  </si>
  <si>
    <t>Wal</t>
  </si>
  <si>
    <t>Also covers WAL (CBH).</t>
  </si>
  <si>
    <t>WLS</t>
  </si>
  <si>
    <t>NI</t>
  </si>
  <si>
    <t>Northern Ireland</t>
  </si>
  <si>
    <t>N. Ireland</t>
  </si>
  <si>
    <t>Nor</t>
  </si>
  <si>
    <t>AVD truncation. Only Northern Ireland fits in this data, but "Nor" alone is ambiguous: worth a line in the query log.</t>
  </si>
  <si>
    <t>NIR</t>
  </si>
  <si>
    <t>IRL</t>
  </si>
  <si>
    <t>OUT_OF_SCOPE</t>
  </si>
  <si>
    <t>Republic of Ireland is not part of UK EPR. Kept visible as OUT_OF_SCOPE so the exclusion is deliberate.</t>
  </si>
  <si>
    <t>period</t>
  </si>
  <si>
    <t>H1 2025</t>
  </si>
  <si>
    <t>2025-H1</t>
  </si>
  <si>
    <t>2025 H1</t>
  </si>
  <si>
    <t>Jan-Jun 25</t>
  </si>
  <si>
    <t>Jan-Jun</t>
  </si>
  <si>
    <t>H1</t>
  </si>
  <si>
    <t>1</t>
  </si>
  <si>
    <t>SSN Half column.</t>
  </si>
  <si>
    <t>H1 Units</t>
  </si>
  <si>
    <t>30.06.2025</t>
  </si>
  <si>
    <t>45838</t>
  </si>
  <si>
    <t>Excel date serial for 30 Jun 2025.</t>
  </si>
  <si>
    <t>H2 2025</t>
  </si>
  <si>
    <t>2025-H2</t>
  </si>
  <si>
    <t>2025 H2</t>
  </si>
  <si>
    <t>Jul-Dec 25</t>
  </si>
  <si>
    <t>Jul-Dec</t>
  </si>
  <si>
    <t>H2</t>
  </si>
  <si>
    <t>2</t>
  </si>
  <si>
    <t>H2 Units</t>
  </si>
  <si>
    <t>31.12.2025</t>
  </si>
  <si>
    <t>46022</t>
  </si>
  <si>
    <t>Excel date serial for 31 Dec 2025.</t>
  </si>
  <si>
    <t>Client</t>
  </si>
  <si>
    <t>Situation</t>
  </si>
  <si>
    <t>What to do</t>
  </si>
  <si>
    <t>Provisional?</t>
  </si>
  <si>
    <t>Why</t>
  </si>
  <si>
    <t>BBO, CBH</t>
  </si>
  <si>
    <t>raw_type is blank (client never sent it)</t>
  </si>
  <si>
    <t>P1 and P2 = HH. P3 and P4 = NH.</t>
  </si>
  <si>
    <t>Sensible assumption for consumer products, but it is ours, not the client's. Add a line to the query log for each client to confirm.</t>
  </si>
  <si>
    <t>CCR</t>
  </si>
  <si>
    <t>Class is P3 (shipping case)</t>
  </si>
  <si>
    <t>Type = NH, whatever the channel says.</t>
  </si>
  <si>
    <t>No</t>
  </si>
  <si>
    <t>Shipping cases go to the shop or cafe, never into a consumer's home.</t>
  </si>
  <si>
    <t>MDC</t>
  </si>
  <si>
    <t>raw_class is blank, the class sits inside the raw_type label</t>
  </si>
  <si>
    <t>Look up the class using raw_type instead of raw_class (the MDC labels are in the class list).</t>
  </si>
  <si>
    <t>MDC's summary puts type and class in one label, e.g. "NHH - Shipment".</t>
  </si>
  <si>
    <t>raw_nation is blank</t>
  </si>
  <si>
    <t>Nation = EN.</t>
  </si>
  <si>
    <t>Client register says Mendip Dairy supplies England only. Note the source.</t>
  </si>
  <si>
    <t>Label "HH Drinks - Primary" with material Paper / Card</t>
  </si>
  <si>
    <t>Map as written (HDC, P1). Leave it for Module 4 to flag.</t>
  </si>
  <si>
    <t>Paper/card can never be a household drinks container. Validation judges it, the client confirms the fix.</t>
  </si>
  <si>
    <t>GGS</t>
  </si>
  <si>
    <t>Nation maps to OUT_OF_SCOPE</t>
  </si>
  <si>
    <t>Keep the rows, exclude them from the submission.</t>
  </si>
  <si>
    <t>Confirm with the client before excluding. Never delete rows at this stage.</t>
  </si>
  <si>
    <t>CCR-0038, 0044, 0045: material and class blank</t>
  </si>
  <si>
    <t>Leave blank. These go in the query log.</t>
  </si>
  <si>
    <t>Sold, but no packaging spec. Guessing a weight would be inventing data.</t>
  </si>
  <si>
    <t>CCR-0002 has two spec dates</t>
  </si>
  <si>
    <t>Keep both for now. Do not aggregate CCR-0002 until the client says which spec applies.</t>
  </si>
  <si>
    <t>Summing both would count the packaging twice.</t>
  </si>
  <si>
    <t>raw_weight_unit</t>
  </si>
  <si>
    <t>multiply by (to get kg)</t>
  </si>
  <si>
    <t>kg</t>
  </si>
  <si>
    <t>AVD, BBO, SPF</t>
  </si>
  <si>
    <t>tonnes</t>
  </si>
  <si>
    <t>SSN</t>
  </si>
  <si>
    <t>t</t>
  </si>
  <si>
    <t>g</t>
  </si>
  <si>
    <t>CBH, CCR</t>
  </si>
  <si>
    <t>lbs</t>
  </si>
  <si>
    <t>GGS. Use 2.20462, not 2.2: over 1,782 rows the rounding adds up.</t>
  </si>
  <si>
    <t>weight_kg formula (raw_weight in K2, unit in L2):</t>
  </si>
  <si>
    <t>=IFERROR(VALUE(SUBSTITUTE(SUBSTITUTE(TRIM(K2),"t",""),",","")) * INDEX('Weight units'!$B$2:$B$6, MATCH(L2, 'Weight units'!$A$2:$A$6, 0)), "")</t>
  </si>
  <si>
    <t>The SUBSTITUTEs strip SSN's trailing "t" and BBO's thousand-separator commas. IFERROR leaves n/a and TBC blank: they are queries, not zeros.</t>
  </si>
  <si>
    <t>Column</t>
  </si>
  <si>
    <t>Blank expected?</t>
  </si>
  <si>
    <t>What you found (fill in)</t>
  </si>
  <si>
    <t>raw_material</t>
  </si>
  <si>
    <t>CCR-0038, 0044, 0045 have sales but no spec.</t>
  </si>
  <si>
    <t>raw_class</t>
  </si>
  <si>
    <t>Same three CCR SKUs, plus MDC (class is inside its type label).</t>
  </si>
  <si>
    <t>raw_type</t>
  </si>
  <si>
    <t>BBO and CBH never sent a packaging type.</t>
  </si>
  <si>
    <t>raw_nation</t>
  </si>
  <si>
    <t>MDC has no nation. Fill EN from the client register.</t>
  </si>
  <si>
    <t>raw_period</t>
  </si>
  <si>
    <t>NO</t>
  </si>
  <si>
    <t>Every row must have a period. Filter for blanks and find which client they belong to.</t>
  </si>
  <si>
    <t>Every row needs a unit, or its weight cannot be converted. Filter and fill.</t>
  </si>
  <si>
    <t>Example of a filled-in answer: "14 rows, all CBH, the TOTAL-row date got pasted as blank. Filled 2025-H2."</t>
  </si>
  <si>
    <t>Tip: UNIQUE shows blank cells as 0. That is why 0 appeared in every column of your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</si>
</sst>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C00000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zoomScaleNormal="100" workbookViewId="0"/>
  </sheetViews>
  <sheetFormatPr defaultColWidth="8.7109375" defaultRowHeight="15"/>
  <cols>
    <col min="1" max="1" width="120" customWidth="1"/>
  </cols>
  <sheetData>
    <row r="1" spans="1:1" ht="16.149999999999999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/>
    </row>
    <row r="9" spans="1:1">
      <c r="A9" s="3" t="s">
        <v>6</v>
      </c>
    </row>
    <row r="10" spans="1:1">
      <c r="A10" s="4" t="s">
        <v>7</v>
      </c>
    </row>
    <row r="11" spans="1:1">
      <c r="A11" s="5" t="s">
        <v>8</v>
      </c>
    </row>
    <row r="12" spans="1:1">
      <c r="A12" s="2"/>
    </row>
    <row r="13" spans="1:1">
      <c r="A13" s="3" t="s">
        <v>9</v>
      </c>
    </row>
    <row r="14" spans="1:1">
      <c r="A14" s="2" t="s">
        <v>10</v>
      </c>
    </row>
    <row r="15" spans="1:1" ht="23.85">
      <c r="A15" s="2" t="s">
        <v>11</v>
      </c>
    </row>
    <row r="16" spans="1:1">
      <c r="A16" s="2"/>
    </row>
    <row r="17" spans="1:1">
      <c r="A17" s="3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2" width="26" customWidth="1"/>
    <col min="3" max="3" width="15" customWidth="1"/>
    <col min="4" max="4" width="11" customWidth="1"/>
    <col min="5" max="5" width="90" customWidth="1"/>
  </cols>
  <sheetData>
    <row r="1" spans="1: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>
      <c r="A2" s="7" t="s">
        <v>21</v>
      </c>
      <c r="B2" s="8" t="s">
        <v>22</v>
      </c>
      <c r="C2" s="7" t="s">
        <v>22</v>
      </c>
      <c r="D2" s="7"/>
      <c r="E2" s="7"/>
    </row>
    <row r="3" spans="1:5">
      <c r="A3" s="7" t="s">
        <v>21</v>
      </c>
      <c r="B3" s="8" t="s">
        <v>23</v>
      </c>
      <c r="C3" s="7" t="s">
        <v>22</v>
      </c>
      <c r="D3" s="7"/>
      <c r="E3" s="7"/>
    </row>
    <row r="4" spans="1:5">
      <c r="A4" s="7" t="s">
        <v>21</v>
      </c>
      <c r="B4" s="8" t="s">
        <v>24</v>
      </c>
      <c r="C4" s="7" t="s">
        <v>22</v>
      </c>
      <c r="D4" s="7"/>
      <c r="E4" s="7"/>
    </row>
    <row r="5" spans="1:5">
      <c r="A5" s="7" t="s">
        <v>21</v>
      </c>
      <c r="B5" s="8" t="s">
        <v>25</v>
      </c>
      <c r="C5" s="7" t="s">
        <v>22</v>
      </c>
      <c r="D5" s="7"/>
      <c r="E5" s="7"/>
    </row>
    <row r="6" spans="1:5">
      <c r="A6" s="7" t="s">
        <v>21</v>
      </c>
      <c r="B6" s="8" t="s">
        <v>26</v>
      </c>
      <c r="C6" s="7" t="s">
        <v>22</v>
      </c>
      <c r="D6" s="7"/>
      <c r="E6" s="7"/>
    </row>
    <row r="7" spans="1:5">
      <c r="A7" s="7" t="s">
        <v>21</v>
      </c>
      <c r="B7" s="8" t="s">
        <v>27</v>
      </c>
      <c r="C7" s="7" t="s">
        <v>22</v>
      </c>
      <c r="D7" s="7"/>
      <c r="E7" s="7"/>
    </row>
    <row r="8" spans="1:5">
      <c r="A8" s="7" t="s">
        <v>21</v>
      </c>
      <c r="B8" s="8" t="s">
        <v>28</v>
      </c>
      <c r="C8" s="7" t="s">
        <v>22</v>
      </c>
      <c r="D8" s="7"/>
      <c r="E8" s="7"/>
    </row>
    <row r="9" spans="1:5">
      <c r="A9" s="7" t="s">
        <v>21</v>
      </c>
      <c r="B9" s="8" t="s">
        <v>29</v>
      </c>
      <c r="C9" s="7" t="s">
        <v>22</v>
      </c>
      <c r="D9" s="7"/>
      <c r="E9" s="7"/>
    </row>
    <row r="10" spans="1:5">
      <c r="A10" s="7" t="s">
        <v>21</v>
      </c>
      <c r="B10" s="8" t="s">
        <v>30</v>
      </c>
      <c r="C10" s="7" t="s">
        <v>22</v>
      </c>
      <c r="D10" s="7"/>
      <c r="E10" s="7"/>
    </row>
    <row r="11" spans="1:5">
      <c r="A11" s="9" t="s">
        <v>21</v>
      </c>
      <c r="B11" s="10" t="s">
        <v>31</v>
      </c>
      <c r="C11" s="9" t="s">
        <v>22</v>
      </c>
      <c r="D11" s="9" t="s">
        <v>32</v>
      </c>
      <c r="E11" s="9" t="s">
        <v>33</v>
      </c>
    </row>
    <row r="12" spans="1:5">
      <c r="A12" s="7" t="s">
        <v>21</v>
      </c>
      <c r="B12" s="8" t="s">
        <v>34</v>
      </c>
      <c r="C12" s="7" t="s">
        <v>34</v>
      </c>
      <c r="D12" s="7"/>
      <c r="E12" s="7"/>
    </row>
    <row r="13" spans="1:5">
      <c r="A13" s="7" t="s">
        <v>21</v>
      </c>
      <c r="B13" s="8" t="s">
        <v>35</v>
      </c>
      <c r="C13" s="7" t="s">
        <v>34</v>
      </c>
      <c r="D13" s="7"/>
      <c r="E13" s="7"/>
    </row>
    <row r="14" spans="1:5">
      <c r="A14" s="7" t="s">
        <v>21</v>
      </c>
      <c r="B14" s="8" t="s">
        <v>36</v>
      </c>
      <c r="C14" s="7" t="s">
        <v>34</v>
      </c>
      <c r="D14" s="7"/>
      <c r="E14" s="7"/>
    </row>
    <row r="15" spans="1:5">
      <c r="A15" s="7" t="s">
        <v>21</v>
      </c>
      <c r="B15" s="8" t="s">
        <v>37</v>
      </c>
      <c r="C15" s="7" t="s">
        <v>34</v>
      </c>
      <c r="D15" s="7"/>
      <c r="E15" s="7"/>
    </row>
    <row r="16" spans="1:5">
      <c r="A16" s="7" t="s">
        <v>21</v>
      </c>
      <c r="B16" s="8" t="s">
        <v>38</v>
      </c>
      <c r="C16" s="7" t="s">
        <v>34</v>
      </c>
      <c r="D16" s="7"/>
      <c r="E16" s="7"/>
    </row>
    <row r="17" spans="1:5">
      <c r="A17" s="7" t="s">
        <v>21</v>
      </c>
      <c r="B17" s="8" t="s">
        <v>39</v>
      </c>
      <c r="C17" s="7" t="s">
        <v>34</v>
      </c>
      <c r="D17" s="7"/>
      <c r="E17" s="7"/>
    </row>
    <row r="18" spans="1:5">
      <c r="A18" s="7" t="s">
        <v>21</v>
      </c>
      <c r="B18" s="8" t="s">
        <v>40</v>
      </c>
      <c r="C18" s="7" t="s">
        <v>34</v>
      </c>
      <c r="D18" s="7"/>
      <c r="E18" s="7"/>
    </row>
    <row r="19" spans="1:5">
      <c r="A19" s="9" t="s">
        <v>21</v>
      </c>
      <c r="B19" s="10" t="s">
        <v>41</v>
      </c>
      <c r="C19" s="9" t="s">
        <v>34</v>
      </c>
      <c r="D19" s="9" t="s">
        <v>32</v>
      </c>
      <c r="E19" s="9" t="s">
        <v>42</v>
      </c>
    </row>
    <row r="20" spans="1:5">
      <c r="A20" s="9" t="s">
        <v>21</v>
      </c>
      <c r="B20" s="10" t="s">
        <v>43</v>
      </c>
      <c r="C20" s="9" t="s">
        <v>34</v>
      </c>
      <c r="D20" s="9" t="s">
        <v>32</v>
      </c>
      <c r="E20" s="9" t="s">
        <v>44</v>
      </c>
    </row>
    <row r="21" spans="1:5">
      <c r="A21" s="7" t="s">
        <v>21</v>
      </c>
      <c r="B21" s="8" t="s">
        <v>45</v>
      </c>
      <c r="C21" s="7" t="s">
        <v>34</v>
      </c>
      <c r="D21" s="7"/>
      <c r="E21" s="7" t="s">
        <v>46</v>
      </c>
    </row>
    <row r="22" spans="1:5">
      <c r="A22" s="9" t="s">
        <v>21</v>
      </c>
      <c r="B22" s="10" t="s">
        <v>47</v>
      </c>
      <c r="C22" s="9" t="s">
        <v>48</v>
      </c>
      <c r="D22" s="9" t="s">
        <v>32</v>
      </c>
      <c r="E22" s="9" t="s">
        <v>49</v>
      </c>
    </row>
    <row r="23" spans="1:5">
      <c r="A23" s="9" t="s">
        <v>21</v>
      </c>
      <c r="B23" s="10" t="s">
        <v>50</v>
      </c>
      <c r="C23" s="9" t="s">
        <v>48</v>
      </c>
      <c r="D23" s="9" t="s">
        <v>32</v>
      </c>
      <c r="E23" s="9" t="s">
        <v>51</v>
      </c>
    </row>
    <row r="24" spans="1:5">
      <c r="A24" s="9" t="s">
        <v>21</v>
      </c>
      <c r="B24" s="10" t="s">
        <v>52</v>
      </c>
      <c r="C24" s="9" t="s">
        <v>48</v>
      </c>
      <c r="D24" s="9" t="s">
        <v>32</v>
      </c>
      <c r="E24" s="9" t="s">
        <v>53</v>
      </c>
    </row>
    <row r="25" spans="1:5">
      <c r="A25" s="7" t="s">
        <v>21</v>
      </c>
      <c r="B25" s="8" t="s">
        <v>54</v>
      </c>
      <c r="C25" s="7" t="s">
        <v>54</v>
      </c>
      <c r="D25" s="7"/>
      <c r="E25" s="7"/>
    </row>
    <row r="26" spans="1:5">
      <c r="A26" s="7" t="s">
        <v>21</v>
      </c>
      <c r="B26" s="8" t="s">
        <v>55</v>
      </c>
      <c r="C26" s="7" t="s">
        <v>54</v>
      </c>
      <c r="D26" s="7"/>
      <c r="E26" s="7"/>
    </row>
    <row r="27" spans="1:5">
      <c r="A27" s="7" t="s">
        <v>21</v>
      </c>
      <c r="B27" s="8" t="s">
        <v>56</v>
      </c>
      <c r="C27" s="7" t="s">
        <v>54</v>
      </c>
      <c r="D27" s="7"/>
      <c r="E27" s="7"/>
    </row>
    <row r="28" spans="1:5">
      <c r="A28" s="7" t="s">
        <v>21</v>
      </c>
      <c r="B28" s="8" t="s">
        <v>57</v>
      </c>
      <c r="C28" s="7" t="s">
        <v>57</v>
      </c>
      <c r="D28" s="7"/>
      <c r="E28" s="7"/>
    </row>
    <row r="29" spans="1:5">
      <c r="A29" s="7" t="s">
        <v>21</v>
      </c>
      <c r="B29" s="8" t="s">
        <v>58</v>
      </c>
      <c r="C29" s="7" t="s">
        <v>57</v>
      </c>
      <c r="D29" s="7"/>
      <c r="E29" s="7"/>
    </row>
    <row r="30" spans="1:5">
      <c r="A30" s="7" t="s">
        <v>21</v>
      </c>
      <c r="B30" s="8" t="s">
        <v>59</v>
      </c>
      <c r="C30" s="7" t="s">
        <v>57</v>
      </c>
      <c r="D30" s="7"/>
      <c r="E30" s="7"/>
    </row>
    <row r="31" spans="1:5">
      <c r="A31" s="7" t="s">
        <v>21</v>
      </c>
      <c r="B31" s="8" t="s">
        <v>60</v>
      </c>
      <c r="C31" s="7" t="s">
        <v>57</v>
      </c>
      <c r="D31" s="7"/>
      <c r="E31" s="7"/>
    </row>
    <row r="32" spans="1:5">
      <c r="A32" s="7" t="s">
        <v>21</v>
      </c>
      <c r="B32" s="8" t="s">
        <v>61</v>
      </c>
      <c r="C32" s="7" t="s">
        <v>57</v>
      </c>
      <c r="D32" s="7"/>
      <c r="E32" s="7"/>
    </row>
    <row r="33" spans="1:5">
      <c r="A33" s="7" t="s">
        <v>21</v>
      </c>
      <c r="B33" s="8" t="s">
        <v>62</v>
      </c>
      <c r="C33" s="7" t="s">
        <v>62</v>
      </c>
      <c r="D33" s="7"/>
      <c r="E33" s="7"/>
    </row>
    <row r="34" spans="1:5">
      <c r="A34" s="7" t="s">
        <v>21</v>
      </c>
      <c r="B34" s="8" t="s">
        <v>63</v>
      </c>
      <c r="C34" s="7" t="s">
        <v>62</v>
      </c>
      <c r="D34" s="7"/>
      <c r="E34" s="7"/>
    </row>
    <row r="35" spans="1:5">
      <c r="A35" s="9" t="s">
        <v>21</v>
      </c>
      <c r="B35" s="10" t="s">
        <v>64</v>
      </c>
      <c r="C35" s="9" t="s">
        <v>62</v>
      </c>
      <c r="D35" s="9" t="s">
        <v>32</v>
      </c>
      <c r="E35" s="9" t="s">
        <v>65</v>
      </c>
    </row>
    <row r="36" spans="1:5">
      <c r="A36" s="7" t="s">
        <v>21</v>
      </c>
      <c r="B36" s="8" t="s">
        <v>66</v>
      </c>
      <c r="C36" s="7" t="s">
        <v>62</v>
      </c>
      <c r="D36" s="7"/>
      <c r="E36" s="7" t="s">
        <v>67</v>
      </c>
    </row>
    <row r="37" spans="1:5">
      <c r="A37" s="7" t="s">
        <v>21</v>
      </c>
      <c r="B37" s="8" t="s">
        <v>68</v>
      </c>
      <c r="C37" s="7" t="s">
        <v>68</v>
      </c>
      <c r="D37" s="7"/>
      <c r="E37" s="7"/>
    </row>
    <row r="38" spans="1:5">
      <c r="A38" s="7" t="s">
        <v>21</v>
      </c>
      <c r="B38" s="8" t="s">
        <v>69</v>
      </c>
      <c r="C38" s="7" t="s">
        <v>68</v>
      </c>
      <c r="D38" s="7"/>
      <c r="E38" s="7"/>
    </row>
    <row r="39" spans="1:5">
      <c r="A39" s="7" t="s">
        <v>21</v>
      </c>
      <c r="B39" s="8" t="s">
        <v>70</v>
      </c>
      <c r="C39" s="7" t="s">
        <v>68</v>
      </c>
      <c r="D39" s="7"/>
      <c r="E39" s="7" t="s">
        <v>71</v>
      </c>
    </row>
    <row r="40" spans="1:5">
      <c r="A40" s="7" t="s">
        <v>21</v>
      </c>
      <c r="B40" s="8" t="s">
        <v>72</v>
      </c>
      <c r="C40" s="7" t="s">
        <v>72</v>
      </c>
      <c r="D40" s="7"/>
      <c r="E40" s="7"/>
    </row>
    <row r="41" spans="1:5">
      <c r="A41" s="9" t="s">
        <v>21</v>
      </c>
      <c r="B41" s="10" t="s">
        <v>73</v>
      </c>
      <c r="C41" s="9" t="s">
        <v>72</v>
      </c>
      <c r="D41" s="9" t="s">
        <v>32</v>
      </c>
      <c r="E41" s="9" t="s">
        <v>74</v>
      </c>
    </row>
    <row r="42" spans="1:5">
      <c r="A42" s="9" t="s">
        <v>21</v>
      </c>
      <c r="B42" s="10" t="s">
        <v>75</v>
      </c>
      <c r="C42" s="9" t="s">
        <v>72</v>
      </c>
      <c r="D42" s="9" t="s">
        <v>32</v>
      </c>
      <c r="E42" s="9" t="s">
        <v>74</v>
      </c>
    </row>
    <row r="43" spans="1:5">
      <c r="A43" s="7" t="s">
        <v>76</v>
      </c>
      <c r="B43" s="8" t="s">
        <v>77</v>
      </c>
      <c r="C43" s="7" t="s">
        <v>77</v>
      </c>
      <c r="D43" s="7"/>
      <c r="E43" s="7"/>
    </row>
    <row r="44" spans="1:5">
      <c r="A44" s="7" t="s">
        <v>76</v>
      </c>
      <c r="B44" s="8" t="s">
        <v>78</v>
      </c>
      <c r="C44" s="7" t="s">
        <v>77</v>
      </c>
      <c r="D44" s="7"/>
      <c r="E44" s="7"/>
    </row>
    <row r="45" spans="1:5">
      <c r="A45" s="7" t="s">
        <v>76</v>
      </c>
      <c r="B45" s="8" t="s">
        <v>79</v>
      </c>
      <c r="C45" s="7" t="s">
        <v>77</v>
      </c>
      <c r="D45" s="7"/>
      <c r="E45" s="7"/>
    </row>
    <row r="46" spans="1:5">
      <c r="A46" s="7" t="s">
        <v>76</v>
      </c>
      <c r="B46" s="8" t="s">
        <v>80</v>
      </c>
      <c r="C46" s="7" t="s">
        <v>77</v>
      </c>
      <c r="D46" s="7"/>
      <c r="E46" s="7"/>
    </row>
    <row r="47" spans="1:5">
      <c r="A47" s="7" t="s">
        <v>76</v>
      </c>
      <c r="B47" s="8" t="s">
        <v>81</v>
      </c>
      <c r="C47" s="7" t="s">
        <v>81</v>
      </c>
      <c r="D47" s="7"/>
      <c r="E47" s="7"/>
    </row>
    <row r="48" spans="1:5">
      <c r="A48" s="7" t="s">
        <v>76</v>
      </c>
      <c r="B48" s="8" t="s">
        <v>82</v>
      </c>
      <c r="C48" s="7" t="s">
        <v>81</v>
      </c>
      <c r="D48" s="7"/>
      <c r="E48" s="7"/>
    </row>
    <row r="49" spans="1:5">
      <c r="A49" s="7" t="s">
        <v>76</v>
      </c>
      <c r="B49" s="8" t="s">
        <v>83</v>
      </c>
      <c r="C49" s="7" t="s">
        <v>81</v>
      </c>
      <c r="D49" s="7"/>
      <c r="E49" s="7"/>
    </row>
    <row r="50" spans="1:5">
      <c r="A50" s="7" t="s">
        <v>76</v>
      </c>
      <c r="B50" s="8" t="s">
        <v>84</v>
      </c>
      <c r="C50" s="7" t="s">
        <v>84</v>
      </c>
      <c r="D50" s="7"/>
      <c r="E50" s="7"/>
    </row>
    <row r="51" spans="1:5">
      <c r="A51" s="7" t="s">
        <v>76</v>
      </c>
      <c r="B51" s="8" t="s">
        <v>85</v>
      </c>
      <c r="C51" s="7" t="s">
        <v>84</v>
      </c>
      <c r="D51" s="7"/>
      <c r="E51" s="7"/>
    </row>
    <row r="52" spans="1:5">
      <c r="A52" s="7" t="s">
        <v>76</v>
      </c>
      <c r="B52" s="8" t="s">
        <v>86</v>
      </c>
      <c r="C52" s="7" t="s">
        <v>84</v>
      </c>
      <c r="D52" s="7"/>
      <c r="E52" s="7"/>
    </row>
    <row r="53" spans="1:5">
      <c r="A53" s="9" t="s">
        <v>76</v>
      </c>
      <c r="B53" s="10" t="s">
        <v>87</v>
      </c>
      <c r="C53" s="9" t="s">
        <v>84</v>
      </c>
      <c r="D53" s="9" t="s">
        <v>32</v>
      </c>
      <c r="E53" s="9" t="s">
        <v>88</v>
      </c>
    </row>
    <row r="54" spans="1:5">
      <c r="A54" s="9" t="s">
        <v>76</v>
      </c>
      <c r="B54" s="10" t="s">
        <v>89</v>
      </c>
      <c r="C54" s="9" t="s">
        <v>84</v>
      </c>
      <c r="D54" s="9" t="s">
        <v>32</v>
      </c>
      <c r="E54" s="9" t="s">
        <v>90</v>
      </c>
    </row>
    <row r="55" spans="1:5">
      <c r="A55" s="7" t="s">
        <v>76</v>
      </c>
      <c r="B55" s="8" t="s">
        <v>91</v>
      </c>
      <c r="C55" s="7" t="s">
        <v>84</v>
      </c>
      <c r="D55" s="7"/>
      <c r="E55" s="7"/>
    </row>
    <row r="56" spans="1:5">
      <c r="A56" s="7" t="s">
        <v>76</v>
      </c>
      <c r="B56" s="8" t="s">
        <v>92</v>
      </c>
      <c r="C56" s="7" t="s">
        <v>92</v>
      </c>
      <c r="D56" s="7"/>
      <c r="E56" s="7"/>
    </row>
    <row r="57" spans="1:5">
      <c r="A57" s="7" t="s">
        <v>76</v>
      </c>
      <c r="B57" s="8" t="s">
        <v>93</v>
      </c>
      <c r="C57" s="7" t="s">
        <v>92</v>
      </c>
      <c r="D57" s="7"/>
      <c r="E57" s="7"/>
    </row>
    <row r="58" spans="1:5">
      <c r="A58" s="9" t="s">
        <v>76</v>
      </c>
      <c r="B58" s="10" t="s">
        <v>94</v>
      </c>
      <c r="C58" s="9" t="s">
        <v>92</v>
      </c>
      <c r="D58" s="9" t="s">
        <v>32</v>
      </c>
      <c r="E58" s="9" t="s">
        <v>95</v>
      </c>
    </row>
    <row r="59" spans="1:5">
      <c r="A59" s="7" t="s">
        <v>76</v>
      </c>
      <c r="B59" s="8" t="s">
        <v>96</v>
      </c>
      <c r="C59" s="7" t="s">
        <v>92</v>
      </c>
      <c r="D59" s="7"/>
      <c r="E59" s="7"/>
    </row>
    <row r="60" spans="1:5">
      <c r="A60" s="9" t="s">
        <v>76</v>
      </c>
      <c r="B60" s="10" t="s">
        <v>97</v>
      </c>
      <c r="C60" s="9" t="s">
        <v>77</v>
      </c>
      <c r="D60" s="9" t="s">
        <v>32</v>
      </c>
      <c r="E60" s="9" t="s">
        <v>98</v>
      </c>
    </row>
    <row r="61" spans="1:5">
      <c r="A61" s="9" t="s">
        <v>76</v>
      </c>
      <c r="B61" s="10" t="s">
        <v>99</v>
      </c>
      <c r="C61" s="9" t="s">
        <v>77</v>
      </c>
      <c r="D61" s="9" t="s">
        <v>32</v>
      </c>
      <c r="E61" s="9" t="s">
        <v>100</v>
      </c>
    </row>
    <row r="62" spans="1:5">
      <c r="A62" s="9" t="s">
        <v>76</v>
      </c>
      <c r="B62" s="10" t="s">
        <v>101</v>
      </c>
      <c r="C62" s="9" t="s">
        <v>81</v>
      </c>
      <c r="D62" s="9" t="s">
        <v>32</v>
      </c>
      <c r="E62" s="9" t="s">
        <v>100</v>
      </c>
    </row>
    <row r="63" spans="1:5">
      <c r="A63" s="9" t="s">
        <v>76</v>
      </c>
      <c r="B63" s="10" t="s">
        <v>102</v>
      </c>
      <c r="C63" s="9" t="s">
        <v>77</v>
      </c>
      <c r="D63" s="9" t="s">
        <v>32</v>
      </c>
      <c r="E63" s="9" t="s">
        <v>100</v>
      </c>
    </row>
    <row r="64" spans="1:5">
      <c r="A64" s="9" t="s">
        <v>76</v>
      </c>
      <c r="B64" s="10" t="s">
        <v>103</v>
      </c>
      <c r="C64" s="9" t="s">
        <v>84</v>
      </c>
      <c r="D64" s="9" t="s">
        <v>32</v>
      </c>
      <c r="E64" s="9" t="s">
        <v>100</v>
      </c>
    </row>
    <row r="65" spans="1:5">
      <c r="A65" s="9" t="s">
        <v>76</v>
      </c>
      <c r="B65" s="10" t="s">
        <v>104</v>
      </c>
      <c r="C65" s="9" t="s">
        <v>92</v>
      </c>
      <c r="D65" s="9" t="s">
        <v>32</v>
      </c>
      <c r="E65" s="9" t="s">
        <v>100</v>
      </c>
    </row>
    <row r="66" spans="1:5">
      <c r="A66" s="7" t="s">
        <v>105</v>
      </c>
      <c r="B66" s="8" t="s">
        <v>106</v>
      </c>
      <c r="C66" s="7" t="s">
        <v>106</v>
      </c>
      <c r="D66" s="7"/>
      <c r="E66" s="7"/>
    </row>
    <row r="67" spans="1:5">
      <c r="A67" s="7" t="s">
        <v>105</v>
      </c>
      <c r="B67" s="8" t="s">
        <v>107</v>
      </c>
      <c r="C67" s="7" t="s">
        <v>106</v>
      </c>
      <c r="D67" s="7"/>
      <c r="E67" s="7"/>
    </row>
    <row r="68" spans="1:5">
      <c r="A68" s="7" t="s">
        <v>105</v>
      </c>
      <c r="B68" s="8" t="s">
        <v>108</v>
      </c>
      <c r="C68" s="7" t="s">
        <v>106</v>
      </c>
      <c r="D68" s="7"/>
      <c r="E68" s="7"/>
    </row>
    <row r="69" spans="1:5">
      <c r="A69" s="9" t="s">
        <v>105</v>
      </c>
      <c r="B69" s="10" t="s">
        <v>109</v>
      </c>
      <c r="C69" s="9" t="s">
        <v>106</v>
      </c>
      <c r="D69" s="9" t="s">
        <v>32</v>
      </c>
      <c r="E69" s="9" t="s">
        <v>110</v>
      </c>
    </row>
    <row r="70" spans="1:5">
      <c r="A70" s="9" t="s">
        <v>105</v>
      </c>
      <c r="B70" s="10" t="s">
        <v>111</v>
      </c>
      <c r="C70" s="9" t="s">
        <v>106</v>
      </c>
      <c r="D70" s="9" t="s">
        <v>32</v>
      </c>
      <c r="E70" s="9" t="s">
        <v>112</v>
      </c>
    </row>
    <row r="71" spans="1:5">
      <c r="A71" s="7" t="s">
        <v>105</v>
      </c>
      <c r="B71" s="8" t="s">
        <v>113</v>
      </c>
      <c r="C71" s="7" t="s">
        <v>113</v>
      </c>
      <c r="D71" s="7"/>
      <c r="E71" s="7"/>
    </row>
    <row r="72" spans="1:5">
      <c r="A72" s="7" t="s">
        <v>105</v>
      </c>
      <c r="B72" s="8" t="s">
        <v>114</v>
      </c>
      <c r="C72" s="7" t="s">
        <v>113</v>
      </c>
      <c r="D72" s="7"/>
      <c r="E72" s="7"/>
    </row>
    <row r="73" spans="1:5">
      <c r="A73" s="7" t="s">
        <v>105</v>
      </c>
      <c r="B73" s="8" t="s">
        <v>115</v>
      </c>
      <c r="C73" s="7" t="s">
        <v>113</v>
      </c>
      <c r="D73" s="7"/>
      <c r="E73" s="7"/>
    </row>
    <row r="74" spans="1:5">
      <c r="A74" s="7" t="s">
        <v>105</v>
      </c>
      <c r="B74" s="8" t="s">
        <v>116</v>
      </c>
      <c r="C74" s="7" t="s">
        <v>113</v>
      </c>
      <c r="D74" s="7"/>
      <c r="E74" s="7"/>
    </row>
    <row r="75" spans="1:5">
      <c r="A75" s="7" t="s">
        <v>105</v>
      </c>
      <c r="B75" s="8" t="s">
        <v>117</v>
      </c>
      <c r="C75" s="7" t="s">
        <v>113</v>
      </c>
      <c r="D75" s="7"/>
      <c r="E75" s="7"/>
    </row>
    <row r="76" spans="1:5">
      <c r="A76" s="9" t="s">
        <v>105</v>
      </c>
      <c r="B76" s="10" t="s">
        <v>118</v>
      </c>
      <c r="C76" s="9" t="s">
        <v>113</v>
      </c>
      <c r="D76" s="9" t="s">
        <v>32</v>
      </c>
      <c r="E76" s="9" t="s">
        <v>119</v>
      </c>
    </row>
    <row r="77" spans="1:5">
      <c r="A77" s="9" t="s">
        <v>105</v>
      </c>
      <c r="B77" s="10" t="s">
        <v>120</v>
      </c>
      <c r="C77" s="9" t="s">
        <v>113</v>
      </c>
      <c r="D77" s="9" t="s">
        <v>32</v>
      </c>
      <c r="E77" s="9" t="s">
        <v>119</v>
      </c>
    </row>
    <row r="78" spans="1:5">
      <c r="A78" s="9" t="s">
        <v>105</v>
      </c>
      <c r="B78" s="10" t="s">
        <v>121</v>
      </c>
      <c r="C78" s="9" t="s">
        <v>113</v>
      </c>
      <c r="D78" s="9" t="s">
        <v>32</v>
      </c>
      <c r="E78" s="9" t="s">
        <v>122</v>
      </c>
    </row>
    <row r="79" spans="1:5">
      <c r="A79" s="7" t="s">
        <v>105</v>
      </c>
      <c r="B79" s="8" t="s">
        <v>123</v>
      </c>
      <c r="C79" s="7" t="s">
        <v>123</v>
      </c>
      <c r="D79" s="7"/>
      <c r="E79" s="7"/>
    </row>
    <row r="80" spans="1:5">
      <c r="A80" s="7" t="s">
        <v>105</v>
      </c>
      <c r="B80" s="8" t="s">
        <v>124</v>
      </c>
      <c r="C80" s="7" t="s">
        <v>123</v>
      </c>
      <c r="D80" s="7"/>
      <c r="E80" s="7"/>
    </row>
    <row r="81" spans="1:5" ht="23.85">
      <c r="A81" s="9" t="s">
        <v>105</v>
      </c>
      <c r="B81" s="10" t="s">
        <v>97</v>
      </c>
      <c r="C81" s="9" t="s">
        <v>123</v>
      </c>
      <c r="D81" s="9" t="s">
        <v>32</v>
      </c>
      <c r="E81" s="9" t="s">
        <v>125</v>
      </c>
    </row>
    <row r="82" spans="1:5">
      <c r="A82" s="7" t="s">
        <v>105</v>
      </c>
      <c r="B82" s="8" t="s">
        <v>99</v>
      </c>
      <c r="C82" s="7" t="s">
        <v>106</v>
      </c>
      <c r="D82" s="7"/>
      <c r="E82" s="7"/>
    </row>
    <row r="83" spans="1:5">
      <c r="A83" s="7" t="s">
        <v>105</v>
      </c>
      <c r="B83" s="8" t="s">
        <v>101</v>
      </c>
      <c r="C83" s="7" t="s">
        <v>106</v>
      </c>
      <c r="D83" s="7"/>
      <c r="E83" s="7"/>
    </row>
    <row r="84" spans="1:5">
      <c r="A84" s="7" t="s">
        <v>105</v>
      </c>
      <c r="B84" s="8" t="s">
        <v>102</v>
      </c>
      <c r="C84" s="7" t="s">
        <v>113</v>
      </c>
      <c r="D84" s="7"/>
      <c r="E84" s="7"/>
    </row>
    <row r="85" spans="1:5">
      <c r="A85" s="7" t="s">
        <v>105</v>
      </c>
      <c r="B85" s="8" t="s">
        <v>103</v>
      </c>
      <c r="C85" s="7" t="s">
        <v>113</v>
      </c>
      <c r="D85" s="7"/>
      <c r="E85" s="7"/>
    </row>
    <row r="86" spans="1:5">
      <c r="A86" s="7" t="s">
        <v>105</v>
      </c>
      <c r="B86" s="8" t="s">
        <v>104</v>
      </c>
      <c r="C86" s="7" t="s">
        <v>113</v>
      </c>
      <c r="D86" s="7"/>
      <c r="E86" s="7"/>
    </row>
    <row r="87" spans="1:5">
      <c r="A87" s="7" t="s">
        <v>126</v>
      </c>
      <c r="B87" s="8" t="s">
        <v>127</v>
      </c>
      <c r="C87" s="7" t="s">
        <v>127</v>
      </c>
      <c r="D87" s="7"/>
      <c r="E87" s="7"/>
    </row>
    <row r="88" spans="1:5">
      <c r="A88" s="7" t="s">
        <v>126</v>
      </c>
      <c r="B88" s="8" t="s">
        <v>128</v>
      </c>
      <c r="C88" s="7" t="s">
        <v>127</v>
      </c>
      <c r="D88" s="7"/>
      <c r="E88" s="7"/>
    </row>
    <row r="89" spans="1:5">
      <c r="A89" s="7" t="s">
        <v>126</v>
      </c>
      <c r="B89" s="8" t="s">
        <v>129</v>
      </c>
      <c r="C89" s="7" t="s">
        <v>127</v>
      </c>
      <c r="D89" s="7"/>
      <c r="E89" s="7" t="s">
        <v>130</v>
      </c>
    </row>
    <row r="90" spans="1:5">
      <c r="A90" s="7" t="s">
        <v>126</v>
      </c>
      <c r="B90" s="8" t="s">
        <v>131</v>
      </c>
      <c r="C90" s="7" t="s">
        <v>131</v>
      </c>
      <c r="D90" s="7"/>
      <c r="E90" s="7"/>
    </row>
    <row r="91" spans="1:5">
      <c r="A91" s="7" t="s">
        <v>126</v>
      </c>
      <c r="B91" s="8" t="s">
        <v>132</v>
      </c>
      <c r="C91" s="7" t="s">
        <v>131</v>
      </c>
      <c r="D91" s="7"/>
      <c r="E91" s="7"/>
    </row>
    <row r="92" spans="1:5">
      <c r="A92" s="7" t="s">
        <v>126</v>
      </c>
      <c r="B92" s="8" t="s">
        <v>133</v>
      </c>
      <c r="C92" s="7" t="s">
        <v>131</v>
      </c>
      <c r="D92" s="7"/>
      <c r="E92" s="7"/>
    </row>
    <row r="93" spans="1:5">
      <c r="A93" s="7" t="s">
        <v>126</v>
      </c>
      <c r="B93" s="8" t="s">
        <v>134</v>
      </c>
      <c r="C93" s="7" t="s">
        <v>131</v>
      </c>
      <c r="D93" s="7"/>
      <c r="E93" s="7"/>
    </row>
    <row r="94" spans="1:5">
      <c r="A94" s="7" t="s">
        <v>126</v>
      </c>
      <c r="B94" s="8" t="s">
        <v>135</v>
      </c>
      <c r="C94" s="7" t="s">
        <v>135</v>
      </c>
      <c r="D94" s="7"/>
      <c r="E94" s="7"/>
    </row>
    <row r="95" spans="1:5">
      <c r="A95" s="7" t="s">
        <v>126</v>
      </c>
      <c r="B95" s="8" t="s">
        <v>136</v>
      </c>
      <c r="C95" s="7" t="s">
        <v>135</v>
      </c>
      <c r="D95" s="7"/>
      <c r="E95" s="7"/>
    </row>
    <row r="96" spans="1:5">
      <c r="A96" s="7" t="s">
        <v>126</v>
      </c>
      <c r="B96" s="8" t="s">
        <v>137</v>
      </c>
      <c r="C96" s="7" t="s">
        <v>135</v>
      </c>
      <c r="D96" s="7"/>
      <c r="E96" s="7" t="s">
        <v>138</v>
      </c>
    </row>
    <row r="97" spans="1:5">
      <c r="A97" s="7" t="s">
        <v>126</v>
      </c>
      <c r="B97" s="8" t="s">
        <v>139</v>
      </c>
      <c r="C97" s="7" t="s">
        <v>135</v>
      </c>
      <c r="D97" s="7"/>
      <c r="E97" s="7"/>
    </row>
    <row r="98" spans="1:5">
      <c r="A98" s="7" t="s">
        <v>126</v>
      </c>
      <c r="B98" s="8" t="s">
        <v>140</v>
      </c>
      <c r="C98" s="7" t="s">
        <v>140</v>
      </c>
      <c r="D98" s="7"/>
      <c r="E98" s="7"/>
    </row>
    <row r="99" spans="1:5">
      <c r="A99" s="7" t="s">
        <v>126</v>
      </c>
      <c r="B99" s="8" t="s">
        <v>141</v>
      </c>
      <c r="C99" s="7" t="s">
        <v>140</v>
      </c>
      <c r="D99" s="7"/>
      <c r="E99" s="7"/>
    </row>
    <row r="100" spans="1:5">
      <c r="A100" s="7" t="s">
        <v>126</v>
      </c>
      <c r="B100" s="8" t="s">
        <v>142</v>
      </c>
      <c r="C100" s="7" t="s">
        <v>140</v>
      </c>
      <c r="D100" s="7"/>
      <c r="E100" s="7"/>
    </row>
    <row r="101" spans="1:5" ht="23.85">
      <c r="A101" s="9" t="s">
        <v>126</v>
      </c>
      <c r="B101" s="10" t="s">
        <v>143</v>
      </c>
      <c r="C101" s="9" t="s">
        <v>140</v>
      </c>
      <c r="D101" s="9" t="s">
        <v>32</v>
      </c>
      <c r="E101" s="9" t="s">
        <v>144</v>
      </c>
    </row>
    <row r="102" spans="1:5">
      <c r="A102" s="7" t="s">
        <v>126</v>
      </c>
      <c r="B102" s="8" t="s">
        <v>145</v>
      </c>
      <c r="C102" s="7" t="s">
        <v>140</v>
      </c>
      <c r="D102" s="7"/>
      <c r="E102" s="7"/>
    </row>
    <row r="103" spans="1:5" ht="23.85">
      <c r="A103" s="9" t="s">
        <v>126</v>
      </c>
      <c r="B103" s="10" t="s">
        <v>146</v>
      </c>
      <c r="C103" s="9" t="s">
        <v>147</v>
      </c>
      <c r="D103" s="9" t="s">
        <v>32</v>
      </c>
      <c r="E103" s="9" t="s">
        <v>148</v>
      </c>
    </row>
    <row r="104" spans="1:5">
      <c r="A104" s="7" t="s">
        <v>149</v>
      </c>
      <c r="B104" s="8" t="s">
        <v>150</v>
      </c>
      <c r="C104" s="7" t="s">
        <v>151</v>
      </c>
      <c r="D104" s="7"/>
      <c r="E104" s="7"/>
    </row>
    <row r="105" spans="1:5">
      <c r="A105" s="7" t="s">
        <v>149</v>
      </c>
      <c r="B105" s="8" t="s">
        <v>152</v>
      </c>
      <c r="C105" s="7" t="s">
        <v>151</v>
      </c>
      <c r="D105" s="7"/>
      <c r="E105" s="7"/>
    </row>
    <row r="106" spans="1:5">
      <c r="A106" s="7" t="s">
        <v>149</v>
      </c>
      <c r="B106" s="8" t="s">
        <v>153</v>
      </c>
      <c r="C106" s="7" t="s">
        <v>151</v>
      </c>
      <c r="D106" s="7"/>
      <c r="E106" s="7"/>
    </row>
    <row r="107" spans="1:5">
      <c r="A107" s="7" t="s">
        <v>149</v>
      </c>
      <c r="B107" s="8" t="s">
        <v>154</v>
      </c>
      <c r="C107" s="7" t="s">
        <v>151</v>
      </c>
      <c r="D107" s="7"/>
      <c r="E107" s="7"/>
    </row>
    <row r="108" spans="1:5">
      <c r="A108" s="7" t="s">
        <v>149</v>
      </c>
      <c r="B108" s="8" t="s">
        <v>155</v>
      </c>
      <c r="C108" s="7" t="s">
        <v>151</v>
      </c>
      <c r="D108" s="7"/>
      <c r="E108" s="7"/>
    </row>
    <row r="109" spans="1:5">
      <c r="A109" s="9" t="s">
        <v>149</v>
      </c>
      <c r="B109" s="10" t="s">
        <v>156</v>
      </c>
      <c r="C109" s="9" t="s">
        <v>151</v>
      </c>
      <c r="D109" s="9" t="s">
        <v>32</v>
      </c>
      <c r="E109" s="9" t="s">
        <v>157</v>
      </c>
    </row>
    <row r="110" spans="1:5">
      <c r="A110" s="7" t="s">
        <v>149</v>
      </c>
      <c r="B110" s="8" t="s">
        <v>158</v>
      </c>
      <c r="C110" s="7" t="s">
        <v>151</v>
      </c>
      <c r="D110" s="7"/>
      <c r="E110" s="7"/>
    </row>
    <row r="111" spans="1:5">
      <c r="A111" s="7" t="s">
        <v>149</v>
      </c>
      <c r="B111" s="8" t="s">
        <v>159</v>
      </c>
      <c r="C111" s="7" t="s">
        <v>151</v>
      </c>
      <c r="D111" s="7"/>
      <c r="E111" s="7"/>
    </row>
    <row r="112" spans="1:5">
      <c r="A112" s="9" t="s">
        <v>149</v>
      </c>
      <c r="B112" s="10" t="s">
        <v>160</v>
      </c>
      <c r="C112" s="9" t="s">
        <v>151</v>
      </c>
      <c r="D112" s="9" t="s">
        <v>32</v>
      </c>
      <c r="E112" s="9" t="s">
        <v>161</v>
      </c>
    </row>
    <row r="113" spans="1:5">
      <c r="A113" s="7" t="s">
        <v>149</v>
      </c>
      <c r="B113" s="8" t="s">
        <v>151</v>
      </c>
      <c r="C113" s="7" t="s">
        <v>151</v>
      </c>
      <c r="D113" s="7"/>
      <c r="E113" s="7"/>
    </row>
    <row r="114" spans="1:5">
      <c r="A114" s="7" t="s">
        <v>149</v>
      </c>
      <c r="B114" s="8" t="s">
        <v>162</v>
      </c>
      <c r="C114" s="7" t="s">
        <v>163</v>
      </c>
      <c r="D114" s="7"/>
      <c r="E114" s="7"/>
    </row>
    <row r="115" spans="1:5">
      <c r="A115" s="7" t="s">
        <v>149</v>
      </c>
      <c r="B115" s="8" t="s">
        <v>164</v>
      </c>
      <c r="C115" s="7" t="s">
        <v>163</v>
      </c>
      <c r="D115" s="7"/>
      <c r="E115" s="7"/>
    </row>
    <row r="116" spans="1:5">
      <c r="A116" s="7" t="s">
        <v>149</v>
      </c>
      <c r="B116" s="8" t="s">
        <v>165</v>
      </c>
      <c r="C116" s="7" t="s">
        <v>163</v>
      </c>
      <c r="D116" s="7"/>
      <c r="E116" s="7"/>
    </row>
    <row r="117" spans="1:5">
      <c r="A117" s="7" t="s">
        <v>149</v>
      </c>
      <c r="B117" s="8" t="s">
        <v>166</v>
      </c>
      <c r="C117" s="7" t="s">
        <v>163</v>
      </c>
      <c r="D117" s="7"/>
      <c r="E117" s="7"/>
    </row>
    <row r="118" spans="1:5">
      <c r="A118" s="7" t="s">
        <v>149</v>
      </c>
      <c r="B118" s="8" t="s">
        <v>167</v>
      </c>
      <c r="C118" s="7" t="s">
        <v>163</v>
      </c>
      <c r="D118" s="7"/>
      <c r="E118" s="7"/>
    </row>
    <row r="119" spans="1:5">
      <c r="A119" s="9" t="s">
        <v>149</v>
      </c>
      <c r="B119" s="10" t="s">
        <v>168</v>
      </c>
      <c r="C119" s="9" t="s">
        <v>163</v>
      </c>
      <c r="D119" s="9" t="s">
        <v>32</v>
      </c>
      <c r="E119" s="9" t="s">
        <v>157</v>
      </c>
    </row>
    <row r="120" spans="1:5">
      <c r="A120" s="7" t="s">
        <v>149</v>
      </c>
      <c r="B120" s="8" t="s">
        <v>169</v>
      </c>
      <c r="C120" s="7" t="s">
        <v>163</v>
      </c>
      <c r="D120" s="7"/>
      <c r="E120" s="7"/>
    </row>
    <row r="121" spans="1:5">
      <c r="A121" s="7" t="s">
        <v>149</v>
      </c>
      <c r="B121" s="8" t="s">
        <v>170</v>
      </c>
      <c r="C121" s="7" t="s">
        <v>163</v>
      </c>
      <c r="D121" s="7"/>
      <c r="E121" s="7"/>
    </row>
    <row r="122" spans="1:5">
      <c r="A122" s="9" t="s">
        <v>149</v>
      </c>
      <c r="B122" s="10" t="s">
        <v>171</v>
      </c>
      <c r="C122" s="9" t="s">
        <v>163</v>
      </c>
      <c r="D122" s="9" t="s">
        <v>32</v>
      </c>
      <c r="E122" s="9" t="s">
        <v>172</v>
      </c>
    </row>
  </sheetData>
  <autoFilter ref="A1:E12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2" width="42" customWidth="1"/>
    <col min="3" max="3" width="52" customWidth="1"/>
    <col min="4" max="4" width="12" customWidth="1"/>
    <col min="5" max="5" width="70" customWidth="1"/>
  </cols>
  <sheetData>
    <row r="1" spans="1:5">
      <c r="A1" s="6" t="s">
        <v>173</v>
      </c>
      <c r="B1" s="6" t="s">
        <v>174</v>
      </c>
      <c r="C1" s="6" t="s">
        <v>175</v>
      </c>
      <c r="D1" s="6" t="s">
        <v>176</v>
      </c>
      <c r="E1" s="6" t="s">
        <v>177</v>
      </c>
    </row>
    <row r="2" spans="1:5" ht="23.85">
      <c r="A2" s="9" t="s">
        <v>178</v>
      </c>
      <c r="B2" s="9" t="s">
        <v>179</v>
      </c>
      <c r="C2" s="9" t="s">
        <v>180</v>
      </c>
      <c r="D2" s="9" t="s">
        <v>32</v>
      </c>
      <c r="E2" s="9" t="s">
        <v>181</v>
      </c>
    </row>
    <row r="3" spans="1:5">
      <c r="A3" s="7" t="s">
        <v>182</v>
      </c>
      <c r="B3" s="7" t="s">
        <v>183</v>
      </c>
      <c r="C3" s="7" t="s">
        <v>184</v>
      </c>
      <c r="D3" s="7" t="s">
        <v>185</v>
      </c>
      <c r="E3" s="7" t="s">
        <v>186</v>
      </c>
    </row>
    <row r="4" spans="1:5" ht="23.85">
      <c r="A4" s="7" t="s">
        <v>187</v>
      </c>
      <c r="B4" s="7" t="s">
        <v>188</v>
      </c>
      <c r="C4" s="7" t="s">
        <v>189</v>
      </c>
      <c r="D4" s="7" t="s">
        <v>185</v>
      </c>
      <c r="E4" s="7" t="s">
        <v>190</v>
      </c>
    </row>
    <row r="5" spans="1:5">
      <c r="A5" s="7" t="s">
        <v>187</v>
      </c>
      <c r="B5" s="7" t="s">
        <v>191</v>
      </c>
      <c r="C5" s="7" t="s">
        <v>192</v>
      </c>
      <c r="D5" s="7" t="s">
        <v>185</v>
      </c>
      <c r="E5" s="7" t="s">
        <v>193</v>
      </c>
    </row>
    <row r="6" spans="1:5" ht="23.85">
      <c r="A6" s="9" t="s">
        <v>187</v>
      </c>
      <c r="B6" s="9" t="s">
        <v>194</v>
      </c>
      <c r="C6" s="9" t="s">
        <v>195</v>
      </c>
      <c r="D6" s="9" t="s">
        <v>32</v>
      </c>
      <c r="E6" s="9" t="s">
        <v>196</v>
      </c>
    </row>
    <row r="7" spans="1:5">
      <c r="A7" s="9" t="s">
        <v>197</v>
      </c>
      <c r="B7" s="9" t="s">
        <v>198</v>
      </c>
      <c r="C7" s="9" t="s">
        <v>199</v>
      </c>
      <c r="D7" s="9" t="s">
        <v>32</v>
      </c>
      <c r="E7" s="9" t="s">
        <v>200</v>
      </c>
    </row>
    <row r="8" spans="1:5">
      <c r="A8" s="9" t="s">
        <v>182</v>
      </c>
      <c r="B8" s="9" t="s">
        <v>201</v>
      </c>
      <c r="C8" s="9" t="s">
        <v>202</v>
      </c>
      <c r="D8" s="9" t="s">
        <v>32</v>
      </c>
      <c r="E8" s="9" t="s">
        <v>203</v>
      </c>
    </row>
    <row r="9" spans="1:5" ht="23.85">
      <c r="A9" s="9" t="s">
        <v>182</v>
      </c>
      <c r="B9" s="9" t="s">
        <v>204</v>
      </c>
      <c r="C9" s="9" t="s">
        <v>205</v>
      </c>
      <c r="D9" s="9" t="s">
        <v>32</v>
      </c>
      <c r="E9" s="9" t="s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Normal="100" workbookViewId="0"/>
  </sheetViews>
  <sheetFormatPr defaultColWidth="8.7109375" defaultRowHeight="15"/>
  <cols>
    <col min="1" max="1" width="22" customWidth="1"/>
    <col min="2" max="2" width="24" customWidth="1"/>
    <col min="3" max="3" width="70" customWidth="1"/>
  </cols>
  <sheetData>
    <row r="1" spans="1:3">
      <c r="A1" s="6" t="s">
        <v>207</v>
      </c>
      <c r="B1" s="6" t="s">
        <v>208</v>
      </c>
      <c r="C1" s="6" t="s">
        <v>20</v>
      </c>
    </row>
    <row r="2" spans="1:3">
      <c r="A2" s="7" t="s">
        <v>209</v>
      </c>
      <c r="B2" s="11">
        <v>1</v>
      </c>
      <c r="C2" s="7" t="s">
        <v>210</v>
      </c>
    </row>
    <row r="3" spans="1:3">
      <c r="A3" s="7" t="s">
        <v>211</v>
      </c>
      <c r="B3" s="11">
        <v>1000</v>
      </c>
      <c r="C3" s="7" t="s">
        <v>212</v>
      </c>
    </row>
    <row r="4" spans="1:3">
      <c r="A4" s="7" t="s">
        <v>213</v>
      </c>
      <c r="B4" s="11">
        <v>1000</v>
      </c>
      <c r="C4" s="7" t="s">
        <v>187</v>
      </c>
    </row>
    <row r="5" spans="1:3">
      <c r="A5" s="7" t="s">
        <v>214</v>
      </c>
      <c r="B5" s="11">
        <v>1E-3</v>
      </c>
      <c r="C5" s="7" t="s">
        <v>215</v>
      </c>
    </row>
    <row r="6" spans="1:3">
      <c r="A6" s="7" t="s">
        <v>216</v>
      </c>
      <c r="B6" s="11">
        <f>1/2.20462</f>
        <v>0.45359290943564001</v>
      </c>
      <c r="C6" s="7" t="s">
        <v>217</v>
      </c>
    </row>
    <row r="8" spans="1:3">
      <c r="A8" s="12" t="s">
        <v>218</v>
      </c>
    </row>
    <row r="9" spans="1:3">
      <c r="A9" s="13" t="s">
        <v>219</v>
      </c>
    </row>
    <row r="10" spans="1:3">
      <c r="A10" s="13" t="s">
        <v>220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zoomScaleNormal="100" workbookViewId="0"/>
  </sheetViews>
  <sheetFormatPr defaultColWidth="8.7109375" defaultRowHeight="15"/>
  <cols>
    <col min="1" max="1" width="18" customWidth="1"/>
    <col min="2" max="2" width="16" customWidth="1"/>
    <col min="3" max="3" width="70" customWidth="1"/>
    <col min="4" max="4" width="44" customWidth="1"/>
  </cols>
  <sheetData>
    <row r="1" spans="1:4">
      <c r="A1" s="6" t="s">
        <v>221</v>
      </c>
      <c r="B1" s="6" t="s">
        <v>222</v>
      </c>
      <c r="C1" s="6" t="s">
        <v>177</v>
      </c>
      <c r="D1" s="6" t="s">
        <v>223</v>
      </c>
    </row>
    <row r="2" spans="1:4">
      <c r="A2" s="7" t="s">
        <v>224</v>
      </c>
      <c r="B2" s="7" t="s">
        <v>32</v>
      </c>
      <c r="C2" s="7" t="s">
        <v>225</v>
      </c>
      <c r="D2" s="14"/>
    </row>
    <row r="3" spans="1:4">
      <c r="A3" s="7" t="s">
        <v>226</v>
      </c>
      <c r="B3" s="7" t="s">
        <v>32</v>
      </c>
      <c r="C3" s="7" t="s">
        <v>227</v>
      </c>
      <c r="D3" s="14"/>
    </row>
    <row r="4" spans="1:4">
      <c r="A4" s="7" t="s">
        <v>228</v>
      </c>
      <c r="B4" s="7" t="s">
        <v>32</v>
      </c>
      <c r="C4" s="7" t="s">
        <v>229</v>
      </c>
      <c r="D4" s="14"/>
    </row>
    <row r="5" spans="1:4">
      <c r="A5" s="7" t="s">
        <v>230</v>
      </c>
      <c r="B5" s="7" t="s">
        <v>32</v>
      </c>
      <c r="C5" s="7" t="s">
        <v>231</v>
      </c>
      <c r="D5" s="14"/>
    </row>
    <row r="6" spans="1:4">
      <c r="A6" s="7" t="s">
        <v>232</v>
      </c>
      <c r="B6" s="15" t="s">
        <v>233</v>
      </c>
      <c r="C6" s="7" t="s">
        <v>234</v>
      </c>
      <c r="D6" s="14"/>
    </row>
    <row r="7" spans="1:4">
      <c r="A7" s="7" t="s">
        <v>207</v>
      </c>
      <c r="B7" s="15" t="s">
        <v>233</v>
      </c>
      <c r="C7" s="7" t="s">
        <v>235</v>
      </c>
      <c r="D7" s="14"/>
    </row>
    <row r="9" spans="1:4">
      <c r="A9" s="16" t="s">
        <v>236</v>
      </c>
    </row>
    <row r="10" spans="1:4">
      <c r="A10" s="16" t="s">
        <v>237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 Zaw</cp:lastModifiedBy>
  <cp:revision>0</cp:revision>
  <dcterms:created xsi:type="dcterms:W3CDTF">2026-09-30T21:24:45Z</dcterms:created>
  <dcterms:modified xsi:type="dcterms:W3CDTF">2026-09-30T21:31:11Z</dcterms:modified>
  <cp:category/>
  <cp:contentStatus/>
</cp:coreProperties>
</file>