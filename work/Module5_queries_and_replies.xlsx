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11" documentId="11_7DEDADE47C21ACCC58FB66D1F769919FA4AC8DCE" xr6:coauthVersionLast="47" xr6:coauthVersionMax="47" xr10:uidLastSave="{ECCC8C6F-38B6-486C-AE29-9EDC4E314804}"/>
  <bookViews>
    <workbookView xWindow="0" yWindow="0" windowWidth="16384" windowHeight="8192" tabRatio="500" activeTab="3" xr2:uid="{00000000-000D-0000-FFFF-FFFF00000000}"/>
  </bookViews>
  <sheets>
    <sheet name="How it went" sheetId="1" r:id="rId1"/>
    <sheet name="Query_Log" sheetId="2" r:id="rId2"/>
    <sheet name="Emails" sheetId="3" r:id="rId3"/>
    <sheet name="Changes_to_apply" sheetId="4" r:id="rId4"/>
  </sheets>
  <definedNames>
    <definedName name="_xlnm._FilterDatabase" localSheetId="1" hidden="1">Query_Log!$A$1:$K$21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8" i="4" l="1"/>
</calcChain>
</file>

<file path=xl/sharedStrings.xml><?xml version="1.0" encoding="utf-8"?>
<sst xmlns="http://schemas.openxmlformats.org/spreadsheetml/2006/main" count="570" uniqueCount="338">
  <si>
    <t>Module 5 run-through: queries, emails, replies</t>
  </si>
  <si>
    <t>Scenario date: emails sent Friday 6 February 2026, reply-by Friday 13 February, replies received 11 February. Submission deadline 27 February.</t>
  </si>
  <si>
    <t>Scorecard</t>
  </si>
  <si>
    <t>8 emails sent, 18 queries asked.</t>
  </si>
  <si>
    <t>Closed: 16    Open: 2    Parked for Module 7: 2</t>
  </si>
  <si>
    <t>The two open items (red in Query_Log)</t>
  </si>
  <si>
    <t>AVD-04: Avon Valley never answered the "Nor" question. Low risk, but still open.</t>
  </si>
  <si>
    <t>CBH-02: Cardiff Bay answered a different question (file format) and ignored the packaging type one. This is the most common thing in real life: a reply that looks complete but is not. Always tick your questions off one by one against the reply.</t>
  </si>
  <si>
    <t>Three lessons from the replies</t>
  </si>
  <si>
    <t>1. Clients volunteer things you did not ask. Avon Valley and Clifton Coffee both explained big changes since 2024. Record them now, use them in Module 7.</t>
  </si>
  <si>
    <t>2. "Decide, then tell" worked for the AVD duplicates: no objection, so the decision stands, and the log shows the client was told.</t>
  </si>
  <si>
    <t>3. Excluded is not deleted. SSN negatives and GGS Ireland rows stay in Raw_All, marked excluded with a reason, so anyone can see what was left out and why.</t>
  </si>
  <si>
    <t>Sheets</t>
  </si>
  <si>
    <t>Query_Log: every issue, the question, the answer, the action, the status.</t>
  </si>
  <si>
    <t>Emails: the 8 emails as sent.</t>
  </si>
  <si>
    <t>Changes_to_apply: exactly what to change in Raw_All, and the row counts you should end with.</t>
  </si>
  <si>
    <t>All companies, people and email addresses are fictional, created for practice.</t>
  </si>
  <si>
    <t>query_id</t>
  </si>
  <si>
    <t>client_id</t>
  </si>
  <si>
    <t>issue</t>
  </si>
  <si>
    <t>rows_affected</t>
  </si>
  <si>
    <t>evidence</t>
  </si>
  <si>
    <t>question</t>
  </si>
  <si>
    <t>sent</t>
  </si>
  <si>
    <t>reply</t>
  </si>
  <si>
    <t>answer</t>
  </si>
  <si>
    <t>action_taken</t>
  </si>
  <si>
    <t>status</t>
  </si>
  <si>
    <t>AVD-01</t>
  </si>
  <si>
    <t>AVD</t>
  </si>
  <si>
    <t>Missing weight</t>
  </si>
  <si>
    <t>12 rows</t>
  </si>
  <si>
    <t>Units given, weight blank, e.g. AVD-0007 Glass bottle EN H1: 128,948 units, no weight</t>
  </si>
  <si>
    <t>Please send the weights in kg.</t>
  </si>
  <si>
    <t>2026-02-06</t>
  </si>
  <si>
    <t>2026-02-11</t>
  </si>
  <si>
    <t>All 12 weights supplied (see Changes_to_apply).</t>
  </si>
  <si>
    <t>Enter the 12 weights as overrides.</t>
  </si>
  <si>
    <t>Closed</t>
  </si>
  <si>
    <t>AVD-02</t>
  </si>
  <si>
    <t>Weight about 1,000x too small</t>
  </si>
  <si>
    <t>4 rows</t>
  </si>
  <si>
    <t>AVD-0009 Glass bottle EN H1: 99,386 units at 18.883 kg = 0.19 g/bottle; other lines about 190 g</t>
  </si>
  <si>
    <t>Entered in tonnes? OK to multiply by 1,000?</t>
  </si>
  <si>
    <t>Yes, typed in tonnes by mistake. Multiply by 1,000.</t>
  </si>
  <si>
    <t>Override = weight_kg x 1,000 on the 4 rows.</t>
  </si>
  <si>
    <t>AVD-03</t>
  </si>
  <si>
    <t>Exact duplicate rows (decided, client told)</t>
  </si>
  <si>
    <t>6 pairs</t>
  </si>
  <si>
    <t>Identical in every column, e.g. AVD-0003 Paper label NI H1 appears twice</t>
  </si>
  <si>
    <t>Told client we kept one of each; asked them to say if any were genuinely separate.</t>
  </si>
  <si>
    <t>No objection raised.</t>
  </si>
  <si>
    <t>Delete one row of each pair (6 rows). Silence is accepted here because the evidence is clear-cut; note it.</t>
  </si>
  <si>
    <t>AVD-04</t>
  </si>
  <si>
    <t>Nation written as "Nor"</t>
  </si>
  <si>
    <t>40 rows</t>
  </si>
  <si>
    <t>"Nor" is not a standard code; mapped provisionally to NI</t>
  </si>
  <si>
    <t>Please confirm "Nor" means Northern Ireland.</t>
  </si>
  <si>
    <t>Not answered in reply.</t>
  </si>
  <si>
    <t>Keep NI as provisional. Follow up by phone via Priya Sharma.</t>
  </si>
  <si>
    <t>Open</t>
  </si>
  <si>
    <t>AVD-05</t>
  </si>
  <si>
    <t>(Volunteered) glass down, cans up vs 2024</t>
  </si>
  <si>
    <t>n/a</t>
  </si>
  <si>
    <t>Not asked yet: belongs to swings analysis</t>
  </si>
  <si>
    <t>None</t>
  </si>
  <si>
    <t>Moved several beers from glass bottles to 440ml cans during 2025.</t>
  </si>
  <si>
    <t>Park for Module 7. This explains a swing in advance.</t>
  </si>
  <si>
    <t>Parked</t>
  </si>
  <si>
    <t>SSN-01</t>
  </si>
  <si>
    <t>SSN</t>
  </si>
  <si>
    <t>Missing weight ("n/a")</t>
  </si>
  <si>
    <t>8 rows</t>
  </si>
  <si>
    <t>Weight shows n/a, e.g. SSN-0022 Shipping case EN H1</t>
  </si>
  <si>
    <t>Please send the weights.</t>
  </si>
  <si>
    <t>All 8 supplied, in tonnes and kg.</t>
  </si>
  <si>
    <t>Enter the 8 weights (kg) as overrides.</t>
  </si>
  <si>
    <t>SSN-02</t>
  </si>
  <si>
    <t>Negative weight and quantity</t>
  </si>
  <si>
    <t>5 rows</t>
  </si>
  <si>
    <t>All H2, e.g. SSN-0040 Steel tin EN: -5,595 units, -0.252 t</t>
  </si>
  <si>
    <t>Are these returns or adjustments? Should they reduce the totals?</t>
  </si>
  <si>
    <t>ERP stock adjustments for a returned delivery, not packaging placed on the market. Exclude.</t>
  </si>
  <si>
    <t>Mark the 5 rows excluded (do not delete).</t>
  </si>
  <si>
    <t>BBO-01</t>
  </si>
  <si>
    <t>BBO</t>
  </si>
  <si>
    <t>Missing weight ("TBC")</t>
  </si>
  <si>
    <t>H2 weight shows TBC, all on the England sheet</t>
  </si>
  <si>
    <t>Please send the confirmed H2 weights.</t>
  </si>
  <si>
    <t>All 5 supplied.</t>
  </si>
  <si>
    <t>Enter the 5 weights (kg) as overrides.</t>
  </si>
  <si>
    <t>BBO-02</t>
  </si>
  <si>
    <t>Packaging type assumed (not supplied)</t>
  </si>
  <si>
    <t>All 2,383 rows</t>
  </si>
  <si>
    <t>File has no household/non-household column</t>
  </si>
  <si>
    <t>We assumed primary = household, shipping cases = non-household. Correct?</t>
  </si>
  <si>
    <t>Confirmed: primary goes to consumers, shipping cases only to stockists.</t>
  </si>
  <si>
    <t>Assumption confirmed. Clear the "Type assumed" flag for BBO.</t>
  </si>
  <si>
    <t>CBH-01</t>
  </si>
  <si>
    <t>CBH</t>
  </si>
  <si>
    <t>How the file was read</t>
  </si>
  <si>
    <t>All 1,920 rows</t>
  </si>
  <si>
    <t>Semicolons, decimal comma, dot as thousands separator, Weight_g</t>
  </si>
  <si>
    <t>We read weights as grams and 2.612 as 2,612 units. Correct?</t>
  </si>
  <si>
    <t>Confirmed: grams, dot for thousands.</t>
  </si>
  <si>
    <t>No change needed.</t>
  </si>
  <si>
    <t>CBH-02</t>
  </si>
  <si>
    <t>We assumed primary = household, shipping and pallets = non-household. Correct?</t>
  </si>
  <si>
    <t>Not answered: reply only covered the file format.</t>
  </si>
  <si>
    <t>Keep the "Type assumed" flag. Follow up via Rhys Evans before submission.</t>
  </si>
  <si>
    <t>MDC-01</t>
  </si>
  <si>
    <t>MDC</t>
  </si>
  <si>
    <t>Paper/card reported as household drinks container</t>
  </si>
  <si>
    <t>2 rows (H1, H2)</t>
  </si>
  <si>
    <t>Paper/card can never be HDC; label "HH Drinks - Primary"</t>
  </si>
  <si>
    <t>Are these fibre composite milk cartons? If so we will report them as household primary, fibre composite.</t>
  </si>
  <si>
    <t>Yes: 1 litre milk cartons, fibre composite, household primary.</t>
  </si>
  <si>
    <t>Change material to FC and type to HH on the 2 rows. Note the email as the source.</t>
  </si>
  <si>
    <t>MDC-02</t>
  </si>
  <si>
    <t>Typed total does not match its figures</t>
  </si>
  <si>
    <t>1 row</t>
  </si>
  <si>
    <t>H2 "HH - Primary": typed 516.718 t, materials add up to 475.218 t</t>
  </si>
  <si>
    <t>Which is correct, the typed total or the material figures?</t>
  </si>
  <si>
    <t>Total was typed by hand; material figures are correct.</t>
  </si>
  <si>
    <t>None: Raw_All already uses the material figures.</t>
  </si>
  <si>
    <t>MDC-03</t>
  </si>
  <si>
    <t>No nation in file (decided from register)</t>
  </si>
  <si>
    <t>18 rows</t>
  </si>
  <si>
    <t>Client register: England only</t>
  </si>
  <si>
    <t>Told client we set England from our records.</t>
  </si>
  <si>
    <t>Confirmed: England only.</t>
  </si>
  <si>
    <t>None.</t>
  </si>
  <si>
    <t>CCR-01</t>
  </si>
  <si>
    <t>CCR</t>
  </si>
  <si>
    <t>Sold, but no packaging spec</t>
  </si>
  <si>
    <t>3 SKUs, 18 rows</t>
  </si>
  <si>
    <t>CCR-0038, CCR-0044, CCR-0045 in sales file but not in spec file</t>
  </si>
  <si>
    <t>Please send packaging specs for these 3 SKUs.</t>
  </si>
  <si>
    <t>Specs supplied (11 component lines). New launches in 2025.</t>
  </si>
  <si>
    <t>Add specs to the spec file, re-run the join, re-paste the CCR block.</t>
  </si>
  <si>
    <t>CCR-02</t>
  </si>
  <si>
    <t>Two spec versions for one SKU</t>
  </si>
  <si>
    <t>CCR-0002, 24 rows</t>
  </si>
  <si>
    <t>Spec dated 2024-03-11 and 2025-01-06 both present</t>
  </si>
  <si>
    <t>Which spec applies to 2025?</t>
  </si>
  <si>
    <t>Use 2025: bag lightweighted from January 2025.</t>
  </si>
  <si>
    <t>Drop the 2024 spec rows before re-running the join.</t>
  </si>
  <si>
    <t>CCR-03</t>
  </si>
  <si>
    <t>(Volunteered) big growth vs 2024</t>
  </si>
  <si>
    <t>Real: many new cafe and wholesale accounts.</t>
  </si>
  <si>
    <t>Park for Module 7.</t>
  </si>
  <si>
    <t>GGS-01</t>
  </si>
  <si>
    <t>GGS</t>
  </si>
  <si>
    <t>Rows shipped to Republic of Ireland</t>
  </si>
  <si>
    <t>132 rows</t>
  </si>
  <si>
    <t>ship_to_region = IRL; outside UK EPR</t>
  </si>
  <si>
    <t>We plan to exclude these from the UK submission. Please confirm.</t>
  </si>
  <si>
    <t>Confirmed: Dublin stockists, leave them out.</t>
  </si>
  <si>
    <t>Mark the 132 rows excluded.</t>
  </si>
  <si>
    <t>SPF-01</t>
  </si>
  <si>
    <t>SPF</t>
  </si>
  <si>
    <t>Whole half year missing</t>
  </si>
  <si>
    <t>H2 2025</t>
  </si>
  <si>
    <t>Only H1 file received</t>
  </si>
  <si>
    <t>Please send H2 2025 data.</t>
  </si>
  <si>
    <t>H2 file attached (SPF_SwindonPetFoods_H2_2025_LATE.xlsx).</t>
  </si>
  <si>
    <t>Load the 752 H2 rows into Raw_All (Module 2 steps). Its Nation has trailing spaces: TRIM in your lookups handles it.</t>
  </si>
  <si>
    <t>SPF-02</t>
  </si>
  <si>
    <t>Weight about 10x too big</t>
  </si>
  <si>
    <t>SPF-0070 Paper sack England H1: 404,620 kg = 2,100 g/sack; other nations 210 g</t>
  </si>
  <si>
    <t>Is there an extra zero? Should it be 40,462 kg?</t>
  </si>
  <si>
    <t>Yes, an extra zero. One tenth.</t>
  </si>
  <si>
    <t>Override = 40,462 kg.</t>
  </si>
  <si>
    <t>client</t>
  </si>
  <si>
    <t>to</t>
  </si>
  <si>
    <t>cc (account manager)</t>
  </si>
  <si>
    <t>subject</t>
  </si>
  <si>
    <t>body</t>
  </si>
  <si>
    <t>Dan Collins (collins@avd.example.com)</t>
  </si>
  <si>
    <t>Priya Sharma</t>
  </si>
  <si>
    <t>Avon Valley Drinks: 2025 packaging data, 4 queries</t>
  </si>
  <si>
    <t>Hi Dan,
Thanks for sending your 2025 packaging data. Before we submit, I have four points to check with you. The affected lines are in the attached sheet.
1. Missing weights (12 lines). These lines have units but no weight, for example AVD-0007 glass bottle, England, H1. Could you send the weights in kg?
2. Weights that look 1,000 times too small (4 lines). For example, AVD-0009 glass bottle: 99,386 bottles at 18.9 kg works out at 0.19 g per bottle, while your other lines show about 190 g. We think these were entered in tonnes. Can you confirm we should multiply them by 1,000?
3. Duplicate lines (6). Six lines appear twice, identical in every column. We have kept one of each. Please let us know if any were genuinely separate.
4. Nation "Nor" (40 lines). We have read this as Northern Ireland. Please confirm.
Could you reply by Friday 13 February, so we have time to finalise before the deadline?
Kind regards,
Sai Zaw
EPR Data Consultant</t>
  </si>
  <si>
    <t>Emma Price (price@ssn.example.com)</t>
  </si>
  <si>
    <t>Tom Hughes</t>
  </si>
  <si>
    <t>Severnside Snacks: 2025 packaging data, 2 queries</t>
  </si>
  <si>
    <t>Hi Emma,
Thanks for your 2025 export. Two points before we submit; the lines are attached.
1. Missing weights (8 lines). The weight shows "n/a", for example SSN-0022 shipping case, England, H1. Could you send these weights?
2. Negative lines (5 lines, all H2). For example SSN-0040 steel tin, England: -5,595 units and -0.252 tonnes. Are these returns or stock adjustments? If they are not packaging you placed on the market, we will leave them out.
Could you reply by Friday 13 February?
Kind regards,
Sai Zaw
EPR Data Consultant</t>
  </si>
  <si>
    <t>J. Hartley (hartley@bbo.example.com)</t>
  </si>
  <si>
    <t>Bath Botanicals: 2025 packaging return, 2 queries</t>
  </si>
  <si>
    <t>Hello Jo,
Thank you for your 2025 packaging return. Two points to confirm:
1. TBC weights (5 lines, England sheet, H2). Could you send the confirmed weights in kg? The lines are attached.
2. Household or non-household. The return does not say who receives each item, which we need to report. We have assumed that primary packaging (jars, tubes, boxes, ribbon) goes to consumers, and shipping cases go to your stockists. Is that right?
Could you reply by Friday 13 February?
Kind regards,
Sai Zaw
EPR Data Consultant</t>
  </si>
  <si>
    <t>Sian Morgan (morgan@cbh.example.com)</t>
  </si>
  <si>
    <t>Rhys Evans</t>
  </si>
  <si>
    <t>Cardiff Bay Homewares: 2025 packaging data, 2 queries</t>
  </si>
  <si>
    <t>Hi Sian,
Thanks for your 2025 file. Two quick checks:
1. How we read the file. We have read Weight_g as grams, and Qty with a dot as the thousands separator (so 2.612 means 2,612 units). Could you confirm?
2. Household or non-household. The file does not show who receives each item. We have assumed that primary packaging (gift boxes, wraps, bags) reaches consumers, and master cartons and pallets go to your trade customers. Is that right?
Could you reply by Friday 13 February?
Kind regards,
Sai Zaw
EPR Data Consultant</t>
  </si>
  <si>
    <t>Gareth Pike (pike@mdc.example.com)</t>
  </si>
  <si>
    <t>Mendip Dairy: 2025 EPR summary, 2 queries</t>
  </si>
  <si>
    <t>Hi Gareth,
Thanks for your 2025 summary. Two points, plus one thing for your information:
1. "HH Drinks - Primary, Paper / Card" (H1 145.1 t, H2 156.3 t). Paper or card cannot be reported as a household drinks container. Are these your milk cartons? If so, they are usually fibre composite (card with a plastic layer), and we would report them as household primary, fibre composite. Is that right?
2. H2 total. On the H2 sheet, the "HH - Primary" total shows 516.718 t, but the material figures add up to 475.218 t. Which is correct?
For information: the summary has no nation split, so we have reported everything as England, as per our records.
Could you reply by Friday 13 February?
Kind regards,
Sai Zaw
EPR Data Consultant</t>
  </si>
  <si>
    <t>Lucy Nash (nash@ccr.example.com)</t>
  </si>
  <si>
    <t>Clifton Coffee Roasters: 2025 packaging data, 2 queries</t>
  </si>
  <si>
    <t>Hi Lucy,
Thanks for the sales and spec files. Two points:
1. Missing specs (3 products). CCR-0038 (Drip bags decaf x8), CCR-0044 (Winter Blend 250g) and CCR-0045 (Summer Blend 250g) appear in sales but not in the spec sheet, so we cannot calculate their packaging. Could you send the components and weights per unit?
2. Two specs for CCR-0002 (Clifton Blend 250g). The spec sheet has one dated March 2024 and one dated January 2025, with different weights. Which applies to 2025 sales?
Could you reply by Friday 13 February?
Kind regards,
Sai Zaw
EPR Data Consultant</t>
  </si>
  <si>
    <t>Mark Rivera (rivera@ggs.example.com)</t>
  </si>
  <si>
    <t>Gloucester Garden Supplies: 2025 export, 1 query</t>
  </si>
  <si>
    <t>Hi Mark,
Thanks for the 2025 export. One point: 132 lines are shipped to region IRL (Republic of Ireland). UK packaging EPR covers England, Scotland, Wales and Northern Ireland only, so we plan to leave these out of the UK submission. Could you confirm?
Could you reply by Friday 13 February?
Kind regards,
Sai Zaw
EPR Data Consultant</t>
  </si>
  <si>
    <t>Aisha Khan (khan@spf.example.com)</t>
  </si>
  <si>
    <t>Swindon Pet Foods: 2025 data, H2 missing and 1 query</t>
  </si>
  <si>
    <t>Hi Aisha,
Thanks for your H1 2025 file. Two points:
1. H2 data. We have not yet received July to December 2025. Could you send it by Friday 13 February? We need it to meet the submission deadline.
2. One H1 line. SPF-0070 paper sack, England: 192,677 sacks at 404,620 kg works out at 2,100 g per sack, while Scotland, Wales and Northern Ireland show about 210 g. Is there an extra zero, so it should be 40,462 kg?
Kind regards,
Sai Zaw
EPR Data Consultant</t>
  </si>
  <si>
    <t>Applying the answers to Raw_All</t>
  </si>
  <si>
    <t>Do not overwrite raw_weight: it is what the client sent. Add three columns at the end of Raw_All instead:</t>
  </si>
  <si>
    <t xml:space="preserve">   override_kg     the corrected weight, typed in only where a client gave one</t>
  </si>
  <si>
    <t xml:space="preserve">   exclude_reason  text such as "Stock adjustment (SSN-02)" or "Republic of Ireland (GGS-01)"; blank means included</t>
  </si>
  <si>
    <t xml:space="preserve">   final_kg        =IF(exclude_reason&lt;&gt;"","",IF(override_kg&lt;&gt;"",override_kg,weight_kg))   (use your real column letters)</t>
  </si>
  <si>
    <t>Module 6 builds the submission from final_kg only.</t>
  </si>
  <si>
    <t>sku</t>
  </si>
  <si>
    <t>component / how to find</t>
  </si>
  <si>
    <t>nation</t>
  </si>
  <si>
    <t>period</t>
  </si>
  <si>
    <t>column</t>
  </si>
  <si>
    <t>value</t>
  </si>
  <si>
    <t>AVD-0025</t>
  </si>
  <si>
    <t>Sleeve label</t>
  </si>
  <si>
    <t>EN</t>
  </si>
  <si>
    <t>2025-H2</t>
  </si>
  <si>
    <t>override_kg</t>
  </si>
  <si>
    <t>1193</t>
  </si>
  <si>
    <t>AVD-0002</t>
  </si>
  <si>
    <t>Glass bottle</t>
  </si>
  <si>
    <t>WS</t>
  </si>
  <si>
    <t>2025-H1</t>
  </si>
  <si>
    <t>300</t>
  </si>
  <si>
    <t>AVD-0018</t>
  </si>
  <si>
    <t>Shrink wrap</t>
  </si>
  <si>
    <t>NI</t>
  </si>
  <si>
    <t>6</t>
  </si>
  <si>
    <t>AVD-0009</t>
  </si>
  <si>
    <t>4-pack carton</t>
  </si>
  <si>
    <t>1178</t>
  </si>
  <si>
    <t>AVD-0030</t>
  </si>
  <si>
    <t>Plastic bag</t>
  </si>
  <si>
    <t>4208</t>
  </si>
  <si>
    <t>AVD-0007</t>
  </si>
  <si>
    <t>24500</t>
  </si>
  <si>
    <t>Crown cap</t>
  </si>
  <si>
    <t>2</t>
  </si>
  <si>
    <t>AVD-0011</t>
  </si>
  <si>
    <t>Can multipack film</t>
  </si>
  <si>
    <t>4</t>
  </si>
  <si>
    <t>AVD-0021</t>
  </si>
  <si>
    <t>PET bottle</t>
  </si>
  <si>
    <t>3379</t>
  </si>
  <si>
    <t>107</t>
  </si>
  <si>
    <t>AVD-0016</t>
  </si>
  <si>
    <t>Shrink tray</t>
  </si>
  <si>
    <t>366</t>
  </si>
  <si>
    <t>AVD-0003</t>
  </si>
  <si>
    <t>2520  (2.520 x 1,000)</t>
  </si>
  <si>
    <t>18883  (18.883 x 1,000)</t>
  </si>
  <si>
    <t>AVD-0020</t>
  </si>
  <si>
    <t>4449  (4.449 x 1,000)</t>
  </si>
  <si>
    <t>AVD-0029</t>
  </si>
  <si>
    <t>One-trip wooden pallet</t>
  </si>
  <si>
    <t>2865  (2.865 x 1,000)</t>
  </si>
  <si>
    <t>(6 pairs)</t>
  </si>
  <si>
    <t>filter flag_duplicate</t>
  </si>
  <si>
    <t>delete row</t>
  </si>
  <si>
    <t>Delete one row of each pair: 6 rows</t>
  </si>
  <si>
    <t>SSN-0007</t>
  </si>
  <si>
    <t>Crisp bag film</t>
  </si>
  <si>
    <t>SC</t>
  </si>
  <si>
    <t>35</t>
  </si>
  <si>
    <t>SSN-0012</t>
  </si>
  <si>
    <t>95</t>
  </si>
  <si>
    <t>SSN-0013</t>
  </si>
  <si>
    <t>Multipack outer bag</t>
  </si>
  <si>
    <t>20</t>
  </si>
  <si>
    <t>SSN-0022</t>
  </si>
  <si>
    <t>Shipping case</t>
  </si>
  <si>
    <t>3665</t>
  </si>
  <si>
    <t>SSN-0029</t>
  </si>
  <si>
    <t>Tray</t>
  </si>
  <si>
    <t>75</t>
  </si>
  <si>
    <t>SSN-0033</t>
  </si>
  <si>
    <t>Foil seal</t>
  </si>
  <si>
    <t>14</t>
  </si>
  <si>
    <t>SSN-0049</t>
  </si>
  <si>
    <t>Bag liner</t>
  </si>
  <si>
    <t>66</t>
  </si>
  <si>
    <t>SSN-0050</t>
  </si>
  <si>
    <t>Carton</t>
  </si>
  <si>
    <t>351</t>
  </si>
  <si>
    <t>(5 rows)</t>
  </si>
  <si>
    <t>filter flag_weight = NEGATIVE OR ZERO</t>
  </si>
  <si>
    <t>exclude_reason</t>
  </si>
  <si>
    <t>Stock adjustment (SSN-02)</t>
  </si>
  <si>
    <t>BBO-0113</t>
  </si>
  <si>
    <t>98</t>
  </si>
  <si>
    <t>BBO-0114</t>
  </si>
  <si>
    <t>70</t>
  </si>
  <si>
    <t>BBO-0120</t>
  </si>
  <si>
    <t>Cotton ribbon</t>
  </si>
  <si>
    <t>18</t>
  </si>
  <si>
    <t>BBO-0121</t>
  </si>
  <si>
    <t>Wooden box</t>
  </si>
  <si>
    <t>1677</t>
  </si>
  <si>
    <t>BBO-0122</t>
  </si>
  <si>
    <t>85</t>
  </si>
  <si>
    <t>(all BBO)</t>
  </si>
  <si>
    <t>assumption column</t>
  </si>
  <si>
    <t>clear</t>
  </si>
  <si>
    <t>Assumption confirmed: clear the flag for BBO rows only</t>
  </si>
  <si>
    <t>(2 rows)</t>
  </si>
  <si>
    <t>HH Drinks - Primary</t>
  </si>
  <si>
    <t>H1 and H2</t>
  </si>
  <si>
    <t>clean_material / clean_type</t>
  </si>
  <si>
    <t>Paste values: FC and HH. In note: "Per client email MDC-01"</t>
  </si>
  <si>
    <t>CCR-01/02</t>
  </si>
  <si>
    <t>(CCR block)</t>
  </si>
  <si>
    <t>spec file</t>
  </si>
  <si>
    <t>re-run join</t>
  </si>
  <si>
    <t>Add the 11 spec lines from the reply, remove the 4 CCR-0002 lines dated 2024-03-11, re-run the Colab join, replace the CCR block</t>
  </si>
  <si>
    <t>(132 rows)</t>
  </si>
  <si>
    <t>filter clean_nation = OUT_OF_SCOPE</t>
  </si>
  <si>
    <t>Republic of Ireland (GGS-01)</t>
  </si>
  <si>
    <t>(752 rows)</t>
  </si>
  <si>
    <t>late H2 file</t>
  </si>
  <si>
    <t>add rows</t>
  </si>
  <si>
    <t>Paste below the other clients, same columns as SPF H1</t>
  </si>
  <si>
    <t>SPF-0070</t>
  </si>
  <si>
    <t>Paper sack</t>
  </si>
  <si>
    <t>40462  (404,620 / 10)</t>
  </si>
  <si>
    <t>Row counts after applying everything</t>
  </si>
  <si>
    <t>rows in Raw_All</t>
  </si>
  <si>
    <t>note</t>
  </si>
  <si>
    <t>1,068 minus 6 duplicates</t>
  </si>
  <si>
    <t>5 excluded, still present</t>
  </si>
  <si>
    <t>re-joined: 2025 spec only, 3 new SKUs</t>
  </si>
  <si>
    <t>132 excluded, still present</t>
  </si>
  <si>
    <t>752 H1 + 752 H2</t>
  </si>
  <si>
    <t>TOTAL</t>
  </si>
  <si>
    <t>of which 137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</si>
</sst>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1"/>
    </font>
    <font>
      <b/>
      <sz val="13"/>
      <name val="Arial"/>
      <charset val="1"/>
    </font>
    <font>
      <sz val="10"/>
      <name val="Arial"/>
      <charset val="1"/>
    </font>
    <font>
      <b/>
      <sz val="10"/>
      <name val="Arial"/>
      <charset val="1"/>
    </font>
    <font>
      <i/>
      <sz val="9"/>
      <color rgb="FF595959"/>
      <name val="Arial"/>
      <charset val="1"/>
    </font>
    <font>
      <b/>
      <sz val="10"/>
      <color rgb="FFFFFFFF"/>
      <name val="Arial"/>
      <charset val="1"/>
    </font>
    <font>
      <sz val="10"/>
      <name val="Consolas"/>
      <charset val="1"/>
    </font>
  </fonts>
  <fills count="6">
    <fill>
      <patternFill patternType="none"/>
    </fill>
    <fill>
      <patternFill patternType="gray125"/>
    </fill>
    <fill>
      <patternFill patternType="solid">
        <fgColor rgb="FF1F3A5F"/>
        <bgColor rgb="FF333333"/>
      </patternFill>
    </fill>
    <fill>
      <patternFill patternType="solid">
        <fgColor rgb="FFE2EFDA"/>
        <bgColor rgb="FFFFF2CC"/>
      </patternFill>
    </fill>
    <fill>
      <patternFill patternType="solid">
        <fgColor rgb="FFF8CBAD"/>
        <bgColor rgb="FFFFF2CC"/>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1" fillId="0" borderId="0" xfId="0" applyFont="1"/>
    <xf numFmtId="0" fontId="2" fillId="0" borderId="0" xfId="0" applyFont="1"/>
    <xf numFmtId="0" fontId="6" fillId="0" borderId="0" xfId="0" applyFont="1"/>
    <xf numFmtId="0" fontId="3" fillId="0" borderId="0" xfId="0" applyFont="1"/>
    <xf numFmtId="0" fontId="3"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zoomScaleNormal="100" workbookViewId="0">
      <selection activeCell="A9" sqref="A9"/>
    </sheetView>
  </sheetViews>
  <sheetFormatPr defaultColWidth="8.7109375" defaultRowHeight="17.25" customHeight="1"/>
  <cols>
    <col min="1" max="1" width="119.7109375" bestFit="1" customWidth="1"/>
  </cols>
  <sheetData>
    <row r="1" spans="1:1" ht="17.25" customHeight="1">
      <c r="A1" s="1" t="s">
        <v>0</v>
      </c>
    </row>
    <row r="2" spans="1:1" ht="24">
      <c r="A2" s="2" t="s">
        <v>1</v>
      </c>
    </row>
    <row r="3" spans="1:1" ht="17.25" customHeight="1">
      <c r="A3" s="2"/>
    </row>
    <row r="4" spans="1:1" ht="17.25" customHeight="1">
      <c r="A4" s="3" t="s">
        <v>2</v>
      </c>
    </row>
    <row r="5" spans="1:1" ht="17.25" customHeight="1">
      <c r="A5" s="2" t="s">
        <v>3</v>
      </c>
    </row>
    <row r="6" spans="1:1" ht="17.25" customHeight="1">
      <c r="A6" s="2" t="s">
        <v>4</v>
      </c>
    </row>
    <row r="7" spans="1:1" ht="17.25" customHeight="1">
      <c r="A7" s="2"/>
    </row>
    <row r="8" spans="1:1" ht="17.25" customHeight="1">
      <c r="A8" s="3" t="s">
        <v>5</v>
      </c>
    </row>
    <row r="9" spans="1:1" ht="17.25" customHeight="1">
      <c r="A9" s="2" t="s">
        <v>6</v>
      </c>
    </row>
    <row r="10" spans="1:1" ht="24">
      <c r="A10" s="2" t="s">
        <v>7</v>
      </c>
    </row>
    <row r="11" spans="1:1" ht="17.25" customHeight="1">
      <c r="A11" s="2"/>
    </row>
    <row r="12" spans="1:1" ht="17.25" customHeight="1">
      <c r="A12" s="3" t="s">
        <v>8</v>
      </c>
    </row>
    <row r="13" spans="1:1" ht="24">
      <c r="A13" s="2" t="s">
        <v>9</v>
      </c>
    </row>
    <row r="14" spans="1:1" ht="15">
      <c r="A14" s="2" t="s">
        <v>10</v>
      </c>
    </row>
    <row r="15" spans="1:1" ht="24">
      <c r="A15" s="2" t="s">
        <v>11</v>
      </c>
    </row>
    <row r="16" spans="1:1" ht="17.25" customHeight="1">
      <c r="A16" s="2"/>
    </row>
    <row r="17" spans="1:1" ht="17.25" customHeight="1">
      <c r="A17" s="3" t="s">
        <v>12</v>
      </c>
    </row>
    <row r="18" spans="1:1" ht="17.25" customHeight="1">
      <c r="A18" s="2" t="s">
        <v>13</v>
      </c>
    </row>
    <row r="19" spans="1:1" ht="17.25" customHeight="1">
      <c r="A19" s="2" t="s">
        <v>14</v>
      </c>
    </row>
    <row r="20" spans="1:1" ht="17.25" customHeight="1">
      <c r="A20" s="2" t="s">
        <v>15</v>
      </c>
    </row>
    <row r="21" spans="1:1" ht="17.25" customHeight="1">
      <c r="A21" s="2"/>
    </row>
    <row r="22" spans="1:1" ht="17.25" customHeight="1">
      <c r="A22" s="4"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zoomScaleNormal="100" workbookViewId="0">
      <pane ySplit="1" topLeftCell="A2" activePane="bottomLeft" state="frozen"/>
      <selection pane="bottomLeft" activeCell="E5" sqref="E5"/>
    </sheetView>
  </sheetViews>
  <sheetFormatPr defaultColWidth="8.7109375" defaultRowHeight="15"/>
  <cols>
    <col min="1" max="1" width="9" customWidth="1"/>
    <col min="2" max="2" width="8" customWidth="1"/>
    <col min="3" max="3" width="26" customWidth="1"/>
    <col min="4" max="4" width="13" customWidth="1"/>
    <col min="5" max="5" width="40" customWidth="1"/>
    <col min="6" max="6" width="36" customWidth="1"/>
    <col min="7" max="8" width="11" customWidth="1"/>
    <col min="9" max="9" width="38" customWidth="1"/>
    <col min="10" max="10" width="40" customWidth="1"/>
    <col min="11" max="11" width="9" customWidth="1"/>
  </cols>
  <sheetData>
    <row r="1" spans="1:11" ht="23.85">
      <c r="A1" s="5" t="s">
        <v>17</v>
      </c>
      <c r="B1" s="5" t="s">
        <v>18</v>
      </c>
      <c r="C1" s="5" t="s">
        <v>19</v>
      </c>
      <c r="D1" s="5" t="s">
        <v>20</v>
      </c>
      <c r="E1" s="5" t="s">
        <v>21</v>
      </c>
      <c r="F1" s="5" t="s">
        <v>22</v>
      </c>
      <c r="G1" s="5" t="s">
        <v>23</v>
      </c>
      <c r="H1" s="5" t="s">
        <v>24</v>
      </c>
      <c r="I1" s="5" t="s">
        <v>25</v>
      </c>
      <c r="J1" s="5" t="s">
        <v>26</v>
      </c>
      <c r="K1" s="5" t="s">
        <v>27</v>
      </c>
    </row>
    <row r="2" spans="1:11" ht="23.85">
      <c r="A2" s="6" t="s">
        <v>28</v>
      </c>
      <c r="B2" s="6" t="s">
        <v>29</v>
      </c>
      <c r="C2" s="6" t="s">
        <v>30</v>
      </c>
      <c r="D2" s="6" t="s">
        <v>31</v>
      </c>
      <c r="E2" s="6" t="s">
        <v>32</v>
      </c>
      <c r="F2" s="6" t="s">
        <v>33</v>
      </c>
      <c r="G2" s="6" t="s">
        <v>34</v>
      </c>
      <c r="H2" s="6" t="s">
        <v>35</v>
      </c>
      <c r="I2" s="6" t="s">
        <v>36</v>
      </c>
      <c r="J2" s="6" t="s">
        <v>37</v>
      </c>
      <c r="K2" s="7" t="s">
        <v>38</v>
      </c>
    </row>
    <row r="3" spans="1:11" ht="23.85">
      <c r="A3" s="6" t="s">
        <v>39</v>
      </c>
      <c r="B3" s="6" t="s">
        <v>29</v>
      </c>
      <c r="C3" s="6" t="s">
        <v>40</v>
      </c>
      <c r="D3" s="6" t="s">
        <v>41</v>
      </c>
      <c r="E3" s="6" t="s">
        <v>42</v>
      </c>
      <c r="F3" s="6" t="s">
        <v>43</v>
      </c>
      <c r="G3" s="6" t="s">
        <v>34</v>
      </c>
      <c r="H3" s="6" t="s">
        <v>35</v>
      </c>
      <c r="I3" s="6" t="s">
        <v>44</v>
      </c>
      <c r="J3" s="6" t="s">
        <v>45</v>
      </c>
      <c r="K3" s="7" t="s">
        <v>38</v>
      </c>
    </row>
    <row r="4" spans="1:11" ht="35.1">
      <c r="A4" s="6" t="s">
        <v>46</v>
      </c>
      <c r="B4" s="6" t="s">
        <v>29</v>
      </c>
      <c r="C4" s="6" t="s">
        <v>47</v>
      </c>
      <c r="D4" s="6" t="s">
        <v>48</v>
      </c>
      <c r="E4" s="6" t="s">
        <v>49</v>
      </c>
      <c r="F4" s="6" t="s">
        <v>50</v>
      </c>
      <c r="G4" s="6" t="s">
        <v>34</v>
      </c>
      <c r="H4" s="6" t="s">
        <v>35</v>
      </c>
      <c r="I4" s="6" t="s">
        <v>51</v>
      </c>
      <c r="J4" s="6" t="s">
        <v>52</v>
      </c>
      <c r="K4" s="7" t="s">
        <v>38</v>
      </c>
    </row>
    <row r="5" spans="1:11" ht="23.85">
      <c r="A5" s="6" t="s">
        <v>53</v>
      </c>
      <c r="B5" s="6" t="s">
        <v>29</v>
      </c>
      <c r="C5" s="6" t="s">
        <v>54</v>
      </c>
      <c r="D5" s="6" t="s">
        <v>55</v>
      </c>
      <c r="E5" s="6" t="s">
        <v>56</v>
      </c>
      <c r="F5" s="6" t="s">
        <v>57</v>
      </c>
      <c r="G5" s="6" t="s">
        <v>34</v>
      </c>
      <c r="H5" s="6" t="s">
        <v>35</v>
      </c>
      <c r="I5" s="6" t="s">
        <v>58</v>
      </c>
      <c r="J5" s="6" t="s">
        <v>59</v>
      </c>
      <c r="K5" s="8" t="s">
        <v>60</v>
      </c>
    </row>
    <row r="6" spans="1:11" ht="23.85">
      <c r="A6" s="6" t="s">
        <v>61</v>
      </c>
      <c r="B6" s="6" t="s">
        <v>29</v>
      </c>
      <c r="C6" s="6" t="s">
        <v>62</v>
      </c>
      <c r="D6" s="6" t="s">
        <v>63</v>
      </c>
      <c r="E6" s="6" t="s">
        <v>64</v>
      </c>
      <c r="F6" s="6" t="s">
        <v>65</v>
      </c>
      <c r="G6" s="6"/>
      <c r="H6" s="6" t="s">
        <v>35</v>
      </c>
      <c r="I6" s="6" t="s">
        <v>66</v>
      </c>
      <c r="J6" s="6" t="s">
        <v>67</v>
      </c>
      <c r="K6" s="9" t="s">
        <v>68</v>
      </c>
    </row>
    <row r="7" spans="1:11" ht="23.85">
      <c r="A7" s="6" t="s">
        <v>69</v>
      </c>
      <c r="B7" s="6" t="s">
        <v>70</v>
      </c>
      <c r="C7" s="6" t="s">
        <v>71</v>
      </c>
      <c r="D7" s="6" t="s">
        <v>72</v>
      </c>
      <c r="E7" s="6" t="s">
        <v>73</v>
      </c>
      <c r="F7" s="6" t="s">
        <v>74</v>
      </c>
      <c r="G7" s="6" t="s">
        <v>34</v>
      </c>
      <c r="H7" s="6" t="s">
        <v>35</v>
      </c>
      <c r="I7" s="6" t="s">
        <v>75</v>
      </c>
      <c r="J7" s="6" t="s">
        <v>76</v>
      </c>
      <c r="K7" s="7" t="s">
        <v>38</v>
      </c>
    </row>
    <row r="8" spans="1:11" ht="23.85">
      <c r="A8" s="6" t="s">
        <v>77</v>
      </c>
      <c r="B8" s="6" t="s">
        <v>70</v>
      </c>
      <c r="C8" s="6" t="s">
        <v>78</v>
      </c>
      <c r="D8" s="6" t="s">
        <v>79</v>
      </c>
      <c r="E8" s="6" t="s">
        <v>80</v>
      </c>
      <c r="F8" s="6" t="s">
        <v>81</v>
      </c>
      <c r="G8" s="6" t="s">
        <v>34</v>
      </c>
      <c r="H8" s="6" t="s">
        <v>35</v>
      </c>
      <c r="I8" s="6" t="s">
        <v>82</v>
      </c>
      <c r="J8" s="6" t="s">
        <v>83</v>
      </c>
      <c r="K8" s="7" t="s">
        <v>38</v>
      </c>
    </row>
    <row r="9" spans="1:11">
      <c r="A9" s="6" t="s">
        <v>84</v>
      </c>
      <c r="B9" s="6" t="s">
        <v>85</v>
      </c>
      <c r="C9" s="6" t="s">
        <v>86</v>
      </c>
      <c r="D9" s="6" t="s">
        <v>79</v>
      </c>
      <c r="E9" s="6" t="s">
        <v>87</v>
      </c>
      <c r="F9" s="6" t="s">
        <v>88</v>
      </c>
      <c r="G9" s="6" t="s">
        <v>34</v>
      </c>
      <c r="H9" s="6" t="s">
        <v>35</v>
      </c>
      <c r="I9" s="6" t="s">
        <v>89</v>
      </c>
      <c r="J9" s="6" t="s">
        <v>90</v>
      </c>
      <c r="K9" s="7" t="s">
        <v>38</v>
      </c>
    </row>
    <row r="10" spans="1:11" ht="23.85">
      <c r="A10" s="6" t="s">
        <v>91</v>
      </c>
      <c r="B10" s="6" t="s">
        <v>85</v>
      </c>
      <c r="C10" s="6" t="s">
        <v>92</v>
      </c>
      <c r="D10" s="6" t="s">
        <v>93</v>
      </c>
      <c r="E10" s="6" t="s">
        <v>94</v>
      </c>
      <c r="F10" s="6" t="s">
        <v>95</v>
      </c>
      <c r="G10" s="6" t="s">
        <v>34</v>
      </c>
      <c r="H10" s="6" t="s">
        <v>35</v>
      </c>
      <c r="I10" s="6" t="s">
        <v>96</v>
      </c>
      <c r="J10" s="6" t="s">
        <v>97</v>
      </c>
      <c r="K10" s="7" t="s">
        <v>38</v>
      </c>
    </row>
    <row r="11" spans="1:11" ht="23.85">
      <c r="A11" s="6" t="s">
        <v>98</v>
      </c>
      <c r="B11" s="6" t="s">
        <v>99</v>
      </c>
      <c r="C11" s="6" t="s">
        <v>100</v>
      </c>
      <c r="D11" s="6" t="s">
        <v>101</v>
      </c>
      <c r="E11" s="6" t="s">
        <v>102</v>
      </c>
      <c r="F11" s="6" t="s">
        <v>103</v>
      </c>
      <c r="G11" s="6" t="s">
        <v>34</v>
      </c>
      <c r="H11" s="6" t="s">
        <v>35</v>
      </c>
      <c r="I11" s="6" t="s">
        <v>104</v>
      </c>
      <c r="J11" s="6" t="s">
        <v>105</v>
      </c>
      <c r="K11" s="7" t="s">
        <v>38</v>
      </c>
    </row>
    <row r="12" spans="1:11" ht="23.85">
      <c r="A12" s="6" t="s">
        <v>106</v>
      </c>
      <c r="B12" s="6" t="s">
        <v>99</v>
      </c>
      <c r="C12" s="6" t="s">
        <v>92</v>
      </c>
      <c r="D12" s="6" t="s">
        <v>101</v>
      </c>
      <c r="E12" s="6" t="s">
        <v>94</v>
      </c>
      <c r="F12" s="6" t="s">
        <v>107</v>
      </c>
      <c r="G12" s="6" t="s">
        <v>34</v>
      </c>
      <c r="H12" s="6" t="s">
        <v>35</v>
      </c>
      <c r="I12" s="6" t="s">
        <v>108</v>
      </c>
      <c r="J12" s="6" t="s">
        <v>109</v>
      </c>
      <c r="K12" s="8" t="s">
        <v>60</v>
      </c>
    </row>
    <row r="13" spans="1:11" ht="35.1">
      <c r="A13" s="6" t="s">
        <v>110</v>
      </c>
      <c r="B13" s="6" t="s">
        <v>111</v>
      </c>
      <c r="C13" s="6" t="s">
        <v>112</v>
      </c>
      <c r="D13" s="6" t="s">
        <v>113</v>
      </c>
      <c r="E13" s="6" t="s">
        <v>114</v>
      </c>
      <c r="F13" s="6" t="s">
        <v>115</v>
      </c>
      <c r="G13" s="6" t="s">
        <v>34</v>
      </c>
      <c r="H13" s="6" t="s">
        <v>35</v>
      </c>
      <c r="I13" s="6" t="s">
        <v>116</v>
      </c>
      <c r="J13" s="6" t="s">
        <v>117</v>
      </c>
      <c r="K13" s="7" t="s">
        <v>38</v>
      </c>
    </row>
    <row r="14" spans="1:11" ht="23.85">
      <c r="A14" s="6" t="s">
        <v>118</v>
      </c>
      <c r="B14" s="6" t="s">
        <v>111</v>
      </c>
      <c r="C14" s="6" t="s">
        <v>119</v>
      </c>
      <c r="D14" s="6" t="s">
        <v>120</v>
      </c>
      <c r="E14" s="6" t="s">
        <v>121</v>
      </c>
      <c r="F14" s="6" t="s">
        <v>122</v>
      </c>
      <c r="G14" s="6" t="s">
        <v>34</v>
      </c>
      <c r="H14" s="6" t="s">
        <v>35</v>
      </c>
      <c r="I14" s="6" t="s">
        <v>123</v>
      </c>
      <c r="J14" s="6" t="s">
        <v>124</v>
      </c>
      <c r="K14" s="7" t="s">
        <v>38</v>
      </c>
    </row>
    <row r="15" spans="1:11" ht="23.85">
      <c r="A15" s="6" t="s">
        <v>125</v>
      </c>
      <c r="B15" s="6" t="s">
        <v>111</v>
      </c>
      <c r="C15" s="6" t="s">
        <v>126</v>
      </c>
      <c r="D15" s="6" t="s">
        <v>127</v>
      </c>
      <c r="E15" s="6" t="s">
        <v>128</v>
      </c>
      <c r="F15" s="6" t="s">
        <v>129</v>
      </c>
      <c r="G15" s="6" t="s">
        <v>34</v>
      </c>
      <c r="H15" s="6" t="s">
        <v>35</v>
      </c>
      <c r="I15" s="6" t="s">
        <v>130</v>
      </c>
      <c r="J15" s="6" t="s">
        <v>131</v>
      </c>
      <c r="K15" s="7" t="s">
        <v>38</v>
      </c>
    </row>
    <row r="16" spans="1:11" ht="23.85">
      <c r="A16" s="6" t="s">
        <v>132</v>
      </c>
      <c r="B16" s="6" t="s">
        <v>133</v>
      </c>
      <c r="C16" s="6" t="s">
        <v>134</v>
      </c>
      <c r="D16" s="6" t="s">
        <v>135</v>
      </c>
      <c r="E16" s="6" t="s">
        <v>136</v>
      </c>
      <c r="F16" s="6" t="s">
        <v>137</v>
      </c>
      <c r="G16" s="6" t="s">
        <v>34</v>
      </c>
      <c r="H16" s="6" t="s">
        <v>35</v>
      </c>
      <c r="I16" s="6" t="s">
        <v>138</v>
      </c>
      <c r="J16" s="6" t="s">
        <v>139</v>
      </c>
      <c r="K16" s="7" t="s">
        <v>38</v>
      </c>
    </row>
    <row r="17" spans="1:11" ht="23.85">
      <c r="A17" s="6" t="s">
        <v>140</v>
      </c>
      <c r="B17" s="6" t="s">
        <v>133</v>
      </c>
      <c r="C17" s="6" t="s">
        <v>141</v>
      </c>
      <c r="D17" s="6" t="s">
        <v>142</v>
      </c>
      <c r="E17" s="6" t="s">
        <v>143</v>
      </c>
      <c r="F17" s="6" t="s">
        <v>144</v>
      </c>
      <c r="G17" s="6" t="s">
        <v>34</v>
      </c>
      <c r="H17" s="6" t="s">
        <v>35</v>
      </c>
      <c r="I17" s="6" t="s">
        <v>145</v>
      </c>
      <c r="J17" s="6" t="s">
        <v>146</v>
      </c>
      <c r="K17" s="7" t="s">
        <v>38</v>
      </c>
    </row>
    <row r="18" spans="1:11" ht="23.85">
      <c r="A18" s="6" t="s">
        <v>147</v>
      </c>
      <c r="B18" s="6" t="s">
        <v>133</v>
      </c>
      <c r="C18" s="6" t="s">
        <v>148</v>
      </c>
      <c r="D18" s="6" t="s">
        <v>63</v>
      </c>
      <c r="E18" s="6" t="s">
        <v>64</v>
      </c>
      <c r="F18" s="6" t="s">
        <v>65</v>
      </c>
      <c r="G18" s="6"/>
      <c r="H18" s="6" t="s">
        <v>35</v>
      </c>
      <c r="I18" s="6" t="s">
        <v>149</v>
      </c>
      <c r="J18" s="6" t="s">
        <v>150</v>
      </c>
      <c r="K18" s="9" t="s">
        <v>68</v>
      </c>
    </row>
    <row r="19" spans="1:11" ht="23.85">
      <c r="A19" s="6" t="s">
        <v>151</v>
      </c>
      <c r="B19" s="6" t="s">
        <v>152</v>
      </c>
      <c r="C19" s="6" t="s">
        <v>153</v>
      </c>
      <c r="D19" s="6" t="s">
        <v>154</v>
      </c>
      <c r="E19" s="6" t="s">
        <v>155</v>
      </c>
      <c r="F19" s="6" t="s">
        <v>156</v>
      </c>
      <c r="G19" s="6" t="s">
        <v>34</v>
      </c>
      <c r="H19" s="6" t="s">
        <v>35</v>
      </c>
      <c r="I19" s="6" t="s">
        <v>157</v>
      </c>
      <c r="J19" s="6" t="s">
        <v>158</v>
      </c>
      <c r="K19" s="7" t="s">
        <v>38</v>
      </c>
    </row>
    <row r="20" spans="1:11" ht="35.1">
      <c r="A20" s="6" t="s">
        <v>159</v>
      </c>
      <c r="B20" s="6" t="s">
        <v>160</v>
      </c>
      <c r="C20" s="6" t="s">
        <v>161</v>
      </c>
      <c r="D20" s="6" t="s">
        <v>162</v>
      </c>
      <c r="E20" s="6" t="s">
        <v>163</v>
      </c>
      <c r="F20" s="6" t="s">
        <v>164</v>
      </c>
      <c r="G20" s="6" t="s">
        <v>34</v>
      </c>
      <c r="H20" s="6" t="s">
        <v>35</v>
      </c>
      <c r="I20" s="6" t="s">
        <v>165</v>
      </c>
      <c r="J20" s="6" t="s">
        <v>166</v>
      </c>
      <c r="K20" s="7" t="s">
        <v>38</v>
      </c>
    </row>
    <row r="21" spans="1:11" ht="23.85">
      <c r="A21" s="6" t="s">
        <v>167</v>
      </c>
      <c r="B21" s="6" t="s">
        <v>160</v>
      </c>
      <c r="C21" s="6" t="s">
        <v>168</v>
      </c>
      <c r="D21" s="6" t="s">
        <v>120</v>
      </c>
      <c r="E21" s="6" t="s">
        <v>169</v>
      </c>
      <c r="F21" s="6" t="s">
        <v>170</v>
      </c>
      <c r="G21" s="6" t="s">
        <v>34</v>
      </c>
      <c r="H21" s="6" t="s">
        <v>35</v>
      </c>
      <c r="I21" s="6" t="s">
        <v>171</v>
      </c>
      <c r="J21" s="6" t="s">
        <v>172</v>
      </c>
      <c r="K21" s="7" t="s">
        <v>38</v>
      </c>
    </row>
  </sheetData>
  <autoFilter ref="A1:K2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zoomScaleNormal="100" workbookViewId="0">
      <pane ySplit="1" topLeftCell="A2" activePane="bottomLeft" state="frozen"/>
      <selection pane="bottomLeft"/>
    </sheetView>
  </sheetViews>
  <sheetFormatPr defaultColWidth="8.7109375" defaultRowHeight="15"/>
  <cols>
    <col min="1" max="1" width="7" customWidth="1"/>
    <col min="2" max="2" width="30" customWidth="1"/>
    <col min="3" max="3" width="16" customWidth="1"/>
    <col min="4" max="4" width="40" customWidth="1"/>
    <col min="5" max="5" width="100" customWidth="1"/>
  </cols>
  <sheetData>
    <row r="1" spans="1:5" ht="23.85">
      <c r="A1" s="5" t="s">
        <v>173</v>
      </c>
      <c r="B1" s="5" t="s">
        <v>174</v>
      </c>
      <c r="C1" s="5" t="s">
        <v>175</v>
      </c>
      <c r="D1" s="5" t="s">
        <v>176</v>
      </c>
      <c r="E1" s="5" t="s">
        <v>177</v>
      </c>
    </row>
    <row r="2" spans="1:5" ht="330" customHeight="1">
      <c r="A2" s="6" t="s">
        <v>29</v>
      </c>
      <c r="B2" s="6" t="s">
        <v>178</v>
      </c>
      <c r="C2" s="6" t="s">
        <v>179</v>
      </c>
      <c r="D2" s="6" t="s">
        <v>180</v>
      </c>
      <c r="E2" s="6" t="s">
        <v>181</v>
      </c>
    </row>
    <row r="3" spans="1:5" ht="330" customHeight="1">
      <c r="A3" s="6" t="s">
        <v>70</v>
      </c>
      <c r="B3" s="6" t="s">
        <v>182</v>
      </c>
      <c r="C3" s="6" t="s">
        <v>183</v>
      </c>
      <c r="D3" s="6" t="s">
        <v>184</v>
      </c>
      <c r="E3" s="6" t="s">
        <v>185</v>
      </c>
    </row>
    <row r="4" spans="1:5" ht="330" customHeight="1">
      <c r="A4" s="6" t="s">
        <v>85</v>
      </c>
      <c r="B4" s="6" t="s">
        <v>186</v>
      </c>
      <c r="C4" s="6" t="s">
        <v>179</v>
      </c>
      <c r="D4" s="6" t="s">
        <v>187</v>
      </c>
      <c r="E4" s="6" t="s">
        <v>188</v>
      </c>
    </row>
    <row r="5" spans="1:5" ht="330" customHeight="1">
      <c r="A5" s="6" t="s">
        <v>99</v>
      </c>
      <c r="B5" s="6" t="s">
        <v>189</v>
      </c>
      <c r="C5" s="6" t="s">
        <v>190</v>
      </c>
      <c r="D5" s="6" t="s">
        <v>191</v>
      </c>
      <c r="E5" s="6" t="s">
        <v>192</v>
      </c>
    </row>
    <row r="6" spans="1:5" ht="330" customHeight="1">
      <c r="A6" s="6" t="s">
        <v>111</v>
      </c>
      <c r="B6" s="6" t="s">
        <v>193</v>
      </c>
      <c r="C6" s="6" t="s">
        <v>183</v>
      </c>
      <c r="D6" s="6" t="s">
        <v>194</v>
      </c>
      <c r="E6" s="6" t="s">
        <v>195</v>
      </c>
    </row>
    <row r="7" spans="1:5" ht="330" customHeight="1">
      <c r="A7" s="6" t="s">
        <v>133</v>
      </c>
      <c r="B7" s="6" t="s">
        <v>196</v>
      </c>
      <c r="C7" s="6" t="s">
        <v>190</v>
      </c>
      <c r="D7" s="6" t="s">
        <v>197</v>
      </c>
      <c r="E7" s="6" t="s">
        <v>198</v>
      </c>
    </row>
    <row r="8" spans="1:5" ht="330" customHeight="1">
      <c r="A8" s="6" t="s">
        <v>152</v>
      </c>
      <c r="B8" s="6" t="s">
        <v>199</v>
      </c>
      <c r="C8" s="6" t="s">
        <v>179</v>
      </c>
      <c r="D8" s="6" t="s">
        <v>200</v>
      </c>
      <c r="E8" s="6" t="s">
        <v>201</v>
      </c>
    </row>
    <row r="9" spans="1:5" ht="330" customHeight="1">
      <c r="A9" s="6" t="s">
        <v>160</v>
      </c>
      <c r="B9" s="6" t="s">
        <v>202</v>
      </c>
      <c r="C9" s="6" t="s">
        <v>183</v>
      </c>
      <c r="D9" s="6" t="s">
        <v>203</v>
      </c>
      <c r="E9" s="6" t="s">
        <v>204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8"/>
  <sheetViews>
    <sheetView tabSelected="1" zoomScaleNormal="100" workbookViewId="0">
      <selection activeCell="B6" sqref="B6"/>
    </sheetView>
  </sheetViews>
  <sheetFormatPr defaultColWidth="8.7109375" defaultRowHeight="15"/>
  <cols>
    <col min="1" max="1" width="10" customWidth="1"/>
    <col min="2" max="2" width="14" customWidth="1"/>
    <col min="3" max="3" width="34" customWidth="1"/>
    <col min="4" max="4" width="8" customWidth="1"/>
    <col min="5" max="5" width="10" customWidth="1"/>
    <col min="6" max="6" width="24" customWidth="1"/>
    <col min="7" max="7" width="70" customWidth="1"/>
  </cols>
  <sheetData>
    <row r="1" spans="1:7" ht="16.149999999999999">
      <c r="A1" s="10" t="s">
        <v>205</v>
      </c>
    </row>
    <row r="3" spans="1:7">
      <c r="A3" s="11" t="s">
        <v>206</v>
      </c>
    </row>
    <row r="4" spans="1:7">
      <c r="A4" s="12" t="s">
        <v>207</v>
      </c>
    </row>
    <row r="5" spans="1:7">
      <c r="A5" s="12" t="s">
        <v>208</v>
      </c>
    </row>
    <row r="6" spans="1:7">
      <c r="A6" s="12" t="s">
        <v>209</v>
      </c>
    </row>
    <row r="7" spans="1:7">
      <c r="A7" s="11" t="s">
        <v>210</v>
      </c>
    </row>
    <row r="9" spans="1:7">
      <c r="A9" s="5" t="s">
        <v>17</v>
      </c>
      <c r="B9" s="5" t="s">
        <v>211</v>
      </c>
      <c r="C9" s="5" t="s">
        <v>212</v>
      </c>
      <c r="D9" s="5" t="s">
        <v>213</v>
      </c>
      <c r="E9" s="5" t="s">
        <v>214</v>
      </c>
      <c r="F9" s="5" t="s">
        <v>215</v>
      </c>
      <c r="G9" s="5" t="s">
        <v>216</v>
      </c>
    </row>
    <row r="10" spans="1:7">
      <c r="A10" s="6" t="s">
        <v>28</v>
      </c>
      <c r="B10" s="6" t="s">
        <v>217</v>
      </c>
      <c r="C10" s="6" t="s">
        <v>218</v>
      </c>
      <c r="D10" s="6" t="s">
        <v>219</v>
      </c>
      <c r="E10" s="6" t="s">
        <v>220</v>
      </c>
      <c r="F10" s="6" t="s">
        <v>221</v>
      </c>
      <c r="G10" s="6" t="s">
        <v>222</v>
      </c>
    </row>
    <row r="11" spans="1:7">
      <c r="A11" s="6" t="s">
        <v>28</v>
      </c>
      <c r="B11" s="6" t="s">
        <v>223</v>
      </c>
      <c r="C11" s="6" t="s">
        <v>224</v>
      </c>
      <c r="D11" s="6" t="s">
        <v>225</v>
      </c>
      <c r="E11" s="6" t="s">
        <v>226</v>
      </c>
      <c r="F11" s="6" t="s">
        <v>221</v>
      </c>
      <c r="G11" s="6" t="s">
        <v>227</v>
      </c>
    </row>
    <row r="12" spans="1:7">
      <c r="A12" s="6" t="s">
        <v>28</v>
      </c>
      <c r="B12" s="6" t="s">
        <v>228</v>
      </c>
      <c r="C12" s="6" t="s">
        <v>229</v>
      </c>
      <c r="D12" s="6" t="s">
        <v>230</v>
      </c>
      <c r="E12" s="6" t="s">
        <v>220</v>
      </c>
      <c r="F12" s="6" t="s">
        <v>221</v>
      </c>
      <c r="G12" s="6" t="s">
        <v>231</v>
      </c>
    </row>
    <row r="13" spans="1:7">
      <c r="A13" s="6" t="s">
        <v>28</v>
      </c>
      <c r="B13" s="6" t="s">
        <v>232</v>
      </c>
      <c r="C13" s="6" t="s">
        <v>233</v>
      </c>
      <c r="D13" s="6" t="s">
        <v>219</v>
      </c>
      <c r="E13" s="6" t="s">
        <v>220</v>
      </c>
      <c r="F13" s="6" t="s">
        <v>221</v>
      </c>
      <c r="G13" s="6" t="s">
        <v>234</v>
      </c>
    </row>
    <row r="14" spans="1:7">
      <c r="A14" s="6" t="s">
        <v>28</v>
      </c>
      <c r="B14" s="6" t="s">
        <v>235</v>
      </c>
      <c r="C14" s="6" t="s">
        <v>236</v>
      </c>
      <c r="D14" s="6" t="s">
        <v>225</v>
      </c>
      <c r="E14" s="6" t="s">
        <v>220</v>
      </c>
      <c r="F14" s="6" t="s">
        <v>221</v>
      </c>
      <c r="G14" s="6" t="s">
        <v>237</v>
      </c>
    </row>
    <row r="15" spans="1:7">
      <c r="A15" s="6" t="s">
        <v>28</v>
      </c>
      <c r="B15" s="6" t="s">
        <v>238</v>
      </c>
      <c r="C15" s="6" t="s">
        <v>224</v>
      </c>
      <c r="D15" s="6" t="s">
        <v>219</v>
      </c>
      <c r="E15" s="6" t="s">
        <v>226</v>
      </c>
      <c r="F15" s="6" t="s">
        <v>221</v>
      </c>
      <c r="G15" s="6" t="s">
        <v>239</v>
      </c>
    </row>
    <row r="16" spans="1:7">
      <c r="A16" s="6" t="s">
        <v>28</v>
      </c>
      <c r="B16" s="6" t="s">
        <v>223</v>
      </c>
      <c r="C16" s="6" t="s">
        <v>240</v>
      </c>
      <c r="D16" s="6" t="s">
        <v>230</v>
      </c>
      <c r="E16" s="6" t="s">
        <v>226</v>
      </c>
      <c r="F16" s="6" t="s">
        <v>221</v>
      </c>
      <c r="G16" s="6" t="s">
        <v>241</v>
      </c>
    </row>
    <row r="17" spans="1:7">
      <c r="A17" s="6" t="s">
        <v>28</v>
      </c>
      <c r="B17" s="6" t="s">
        <v>242</v>
      </c>
      <c r="C17" s="6" t="s">
        <v>243</v>
      </c>
      <c r="D17" s="6" t="s">
        <v>225</v>
      </c>
      <c r="E17" s="6" t="s">
        <v>226</v>
      </c>
      <c r="F17" s="6" t="s">
        <v>221</v>
      </c>
      <c r="G17" s="6" t="s">
        <v>231</v>
      </c>
    </row>
    <row r="18" spans="1:7">
      <c r="A18" s="6" t="s">
        <v>28</v>
      </c>
      <c r="B18" s="6" t="s">
        <v>228</v>
      </c>
      <c r="C18" s="6" t="s">
        <v>218</v>
      </c>
      <c r="D18" s="6" t="s">
        <v>225</v>
      </c>
      <c r="E18" s="6" t="s">
        <v>226</v>
      </c>
      <c r="F18" s="6" t="s">
        <v>221</v>
      </c>
      <c r="G18" s="6" t="s">
        <v>244</v>
      </c>
    </row>
    <row r="19" spans="1:7">
      <c r="A19" s="6" t="s">
        <v>28</v>
      </c>
      <c r="B19" s="6" t="s">
        <v>245</v>
      </c>
      <c r="C19" s="6" t="s">
        <v>246</v>
      </c>
      <c r="D19" s="6" t="s">
        <v>219</v>
      </c>
      <c r="E19" s="6" t="s">
        <v>220</v>
      </c>
      <c r="F19" s="6" t="s">
        <v>221</v>
      </c>
      <c r="G19" s="6" t="s">
        <v>247</v>
      </c>
    </row>
    <row r="20" spans="1:7">
      <c r="A20" s="6" t="s">
        <v>28</v>
      </c>
      <c r="B20" s="6" t="s">
        <v>242</v>
      </c>
      <c r="C20" s="6" t="s">
        <v>243</v>
      </c>
      <c r="D20" s="6" t="s">
        <v>219</v>
      </c>
      <c r="E20" s="6" t="s">
        <v>226</v>
      </c>
      <c r="F20" s="6" t="s">
        <v>221</v>
      </c>
      <c r="G20" s="6" t="s">
        <v>248</v>
      </c>
    </row>
    <row r="21" spans="1:7">
      <c r="A21" s="6" t="s">
        <v>28</v>
      </c>
      <c r="B21" s="6" t="s">
        <v>249</v>
      </c>
      <c r="C21" s="6" t="s">
        <v>250</v>
      </c>
      <c r="D21" s="6" t="s">
        <v>219</v>
      </c>
      <c r="E21" s="6" t="s">
        <v>220</v>
      </c>
      <c r="F21" s="6" t="s">
        <v>221</v>
      </c>
      <c r="G21" s="6" t="s">
        <v>251</v>
      </c>
    </row>
    <row r="22" spans="1:7">
      <c r="A22" s="6" t="s">
        <v>39</v>
      </c>
      <c r="B22" s="6" t="s">
        <v>252</v>
      </c>
      <c r="C22" s="6" t="s">
        <v>233</v>
      </c>
      <c r="D22" s="6" t="s">
        <v>219</v>
      </c>
      <c r="E22" s="6" t="s">
        <v>226</v>
      </c>
      <c r="F22" s="6" t="s">
        <v>221</v>
      </c>
      <c r="G22" s="6" t="s">
        <v>253</v>
      </c>
    </row>
    <row r="23" spans="1:7">
      <c r="A23" s="6" t="s">
        <v>39</v>
      </c>
      <c r="B23" s="6" t="s">
        <v>232</v>
      </c>
      <c r="C23" s="6" t="s">
        <v>224</v>
      </c>
      <c r="D23" s="6" t="s">
        <v>219</v>
      </c>
      <c r="E23" s="6" t="s">
        <v>226</v>
      </c>
      <c r="F23" s="6" t="s">
        <v>221</v>
      </c>
      <c r="G23" s="6" t="s">
        <v>254</v>
      </c>
    </row>
    <row r="24" spans="1:7">
      <c r="A24" s="6" t="s">
        <v>39</v>
      </c>
      <c r="B24" s="6" t="s">
        <v>255</v>
      </c>
      <c r="C24" s="6" t="s">
        <v>246</v>
      </c>
      <c r="D24" s="6" t="s">
        <v>219</v>
      </c>
      <c r="E24" s="6" t="s">
        <v>220</v>
      </c>
      <c r="F24" s="6" t="s">
        <v>221</v>
      </c>
      <c r="G24" s="6" t="s">
        <v>256</v>
      </c>
    </row>
    <row r="25" spans="1:7">
      <c r="A25" s="6" t="s">
        <v>39</v>
      </c>
      <c r="B25" s="6" t="s">
        <v>257</v>
      </c>
      <c r="C25" s="6" t="s">
        <v>258</v>
      </c>
      <c r="D25" s="6" t="s">
        <v>219</v>
      </c>
      <c r="E25" s="6" t="s">
        <v>220</v>
      </c>
      <c r="F25" s="6" t="s">
        <v>221</v>
      </c>
      <c r="G25" s="6" t="s">
        <v>259</v>
      </c>
    </row>
    <row r="26" spans="1:7">
      <c r="A26" s="6" t="s">
        <v>46</v>
      </c>
      <c r="B26" s="6" t="s">
        <v>260</v>
      </c>
      <c r="C26" s="6" t="s">
        <v>261</v>
      </c>
      <c r="D26" s="6"/>
      <c r="E26" s="6"/>
      <c r="F26" s="6" t="s">
        <v>262</v>
      </c>
      <c r="G26" s="6" t="s">
        <v>263</v>
      </c>
    </row>
    <row r="27" spans="1:7">
      <c r="A27" s="6" t="s">
        <v>69</v>
      </c>
      <c r="B27" s="6" t="s">
        <v>264</v>
      </c>
      <c r="C27" s="6" t="s">
        <v>265</v>
      </c>
      <c r="D27" s="6" t="s">
        <v>266</v>
      </c>
      <c r="E27" s="6" t="s">
        <v>226</v>
      </c>
      <c r="F27" s="6" t="s">
        <v>221</v>
      </c>
      <c r="G27" s="6" t="s">
        <v>267</v>
      </c>
    </row>
    <row r="28" spans="1:7">
      <c r="A28" s="6" t="s">
        <v>69</v>
      </c>
      <c r="B28" s="6" t="s">
        <v>268</v>
      </c>
      <c r="C28" s="6" t="s">
        <v>265</v>
      </c>
      <c r="D28" s="6" t="s">
        <v>266</v>
      </c>
      <c r="E28" s="6" t="s">
        <v>226</v>
      </c>
      <c r="F28" s="6" t="s">
        <v>221</v>
      </c>
      <c r="G28" s="6" t="s">
        <v>269</v>
      </c>
    </row>
    <row r="29" spans="1:7">
      <c r="A29" s="6" t="s">
        <v>69</v>
      </c>
      <c r="B29" s="6" t="s">
        <v>270</v>
      </c>
      <c r="C29" s="6" t="s">
        <v>271</v>
      </c>
      <c r="D29" s="6" t="s">
        <v>230</v>
      </c>
      <c r="E29" s="6" t="s">
        <v>226</v>
      </c>
      <c r="F29" s="6" t="s">
        <v>221</v>
      </c>
      <c r="G29" s="6" t="s">
        <v>272</v>
      </c>
    </row>
    <row r="30" spans="1:7">
      <c r="A30" s="6" t="s">
        <v>69</v>
      </c>
      <c r="B30" s="6" t="s">
        <v>273</v>
      </c>
      <c r="C30" s="6" t="s">
        <v>274</v>
      </c>
      <c r="D30" s="6" t="s">
        <v>219</v>
      </c>
      <c r="E30" s="6" t="s">
        <v>226</v>
      </c>
      <c r="F30" s="6" t="s">
        <v>221</v>
      </c>
      <c r="G30" s="6" t="s">
        <v>275</v>
      </c>
    </row>
    <row r="31" spans="1:7">
      <c r="A31" s="6" t="s">
        <v>69</v>
      </c>
      <c r="B31" s="6" t="s">
        <v>276</v>
      </c>
      <c r="C31" s="6" t="s">
        <v>277</v>
      </c>
      <c r="D31" s="6" t="s">
        <v>266</v>
      </c>
      <c r="E31" s="6" t="s">
        <v>220</v>
      </c>
      <c r="F31" s="6" t="s">
        <v>221</v>
      </c>
      <c r="G31" s="6" t="s">
        <v>278</v>
      </c>
    </row>
    <row r="32" spans="1:7">
      <c r="A32" s="6" t="s">
        <v>69</v>
      </c>
      <c r="B32" s="6" t="s">
        <v>279</v>
      </c>
      <c r="C32" s="6" t="s">
        <v>280</v>
      </c>
      <c r="D32" s="6" t="s">
        <v>225</v>
      </c>
      <c r="E32" s="6" t="s">
        <v>220</v>
      </c>
      <c r="F32" s="6" t="s">
        <v>221</v>
      </c>
      <c r="G32" s="6" t="s">
        <v>281</v>
      </c>
    </row>
    <row r="33" spans="1:7">
      <c r="A33" s="6" t="s">
        <v>69</v>
      </c>
      <c r="B33" s="6" t="s">
        <v>282</v>
      </c>
      <c r="C33" s="6" t="s">
        <v>283</v>
      </c>
      <c r="D33" s="6" t="s">
        <v>266</v>
      </c>
      <c r="E33" s="6" t="s">
        <v>220</v>
      </c>
      <c r="F33" s="6" t="s">
        <v>221</v>
      </c>
      <c r="G33" s="6" t="s">
        <v>284</v>
      </c>
    </row>
    <row r="34" spans="1:7">
      <c r="A34" s="6" t="s">
        <v>69</v>
      </c>
      <c r="B34" s="6" t="s">
        <v>285</v>
      </c>
      <c r="C34" s="6" t="s">
        <v>286</v>
      </c>
      <c r="D34" s="6" t="s">
        <v>230</v>
      </c>
      <c r="E34" s="6" t="s">
        <v>220</v>
      </c>
      <c r="F34" s="6" t="s">
        <v>221</v>
      </c>
      <c r="G34" s="6" t="s">
        <v>287</v>
      </c>
    </row>
    <row r="35" spans="1:7">
      <c r="A35" s="6" t="s">
        <v>77</v>
      </c>
      <c r="B35" s="6" t="s">
        <v>288</v>
      </c>
      <c r="C35" s="6" t="s">
        <v>289</v>
      </c>
      <c r="D35" s="6"/>
      <c r="E35" s="6"/>
      <c r="F35" s="6" t="s">
        <v>290</v>
      </c>
      <c r="G35" s="6" t="s">
        <v>291</v>
      </c>
    </row>
    <row r="36" spans="1:7">
      <c r="A36" s="6" t="s">
        <v>84</v>
      </c>
      <c r="B36" s="6" t="s">
        <v>292</v>
      </c>
      <c r="C36" s="6" t="s">
        <v>274</v>
      </c>
      <c r="D36" s="6" t="s">
        <v>219</v>
      </c>
      <c r="E36" s="6" t="s">
        <v>220</v>
      </c>
      <c r="F36" s="6" t="s">
        <v>221</v>
      </c>
      <c r="G36" s="6" t="s">
        <v>293</v>
      </c>
    </row>
    <row r="37" spans="1:7">
      <c r="A37" s="6" t="s">
        <v>84</v>
      </c>
      <c r="B37" s="6" t="s">
        <v>294</v>
      </c>
      <c r="C37" s="6" t="s">
        <v>274</v>
      </c>
      <c r="D37" s="6" t="s">
        <v>219</v>
      </c>
      <c r="E37" s="6" t="s">
        <v>220</v>
      </c>
      <c r="F37" s="6" t="s">
        <v>221</v>
      </c>
      <c r="G37" s="6" t="s">
        <v>295</v>
      </c>
    </row>
    <row r="38" spans="1:7">
      <c r="A38" s="6" t="s">
        <v>84</v>
      </c>
      <c r="B38" s="6" t="s">
        <v>296</v>
      </c>
      <c r="C38" s="6" t="s">
        <v>297</v>
      </c>
      <c r="D38" s="6" t="s">
        <v>219</v>
      </c>
      <c r="E38" s="6" t="s">
        <v>220</v>
      </c>
      <c r="F38" s="6" t="s">
        <v>221</v>
      </c>
      <c r="G38" s="6" t="s">
        <v>298</v>
      </c>
    </row>
    <row r="39" spans="1:7">
      <c r="A39" s="6" t="s">
        <v>84</v>
      </c>
      <c r="B39" s="6" t="s">
        <v>299</v>
      </c>
      <c r="C39" s="6" t="s">
        <v>300</v>
      </c>
      <c r="D39" s="6" t="s">
        <v>219</v>
      </c>
      <c r="E39" s="6" t="s">
        <v>220</v>
      </c>
      <c r="F39" s="6" t="s">
        <v>221</v>
      </c>
      <c r="G39" s="6" t="s">
        <v>301</v>
      </c>
    </row>
    <row r="40" spans="1:7">
      <c r="A40" s="6" t="s">
        <v>84</v>
      </c>
      <c r="B40" s="6" t="s">
        <v>302</v>
      </c>
      <c r="C40" s="6" t="s">
        <v>274</v>
      </c>
      <c r="D40" s="6" t="s">
        <v>219</v>
      </c>
      <c r="E40" s="6" t="s">
        <v>220</v>
      </c>
      <c r="F40" s="6" t="s">
        <v>221</v>
      </c>
      <c r="G40" s="6" t="s">
        <v>303</v>
      </c>
    </row>
    <row r="41" spans="1:7">
      <c r="A41" s="6" t="s">
        <v>91</v>
      </c>
      <c r="B41" s="6" t="s">
        <v>304</v>
      </c>
      <c r="C41" s="6" t="s">
        <v>305</v>
      </c>
      <c r="D41" s="6"/>
      <c r="E41" s="6"/>
      <c r="F41" s="6" t="s">
        <v>306</v>
      </c>
      <c r="G41" s="6" t="s">
        <v>307</v>
      </c>
    </row>
    <row r="42" spans="1:7">
      <c r="A42" s="6" t="s">
        <v>110</v>
      </c>
      <c r="B42" s="6" t="s">
        <v>308</v>
      </c>
      <c r="C42" s="6" t="s">
        <v>309</v>
      </c>
      <c r="D42" s="6" t="s">
        <v>219</v>
      </c>
      <c r="E42" s="6" t="s">
        <v>310</v>
      </c>
      <c r="F42" s="6" t="s">
        <v>311</v>
      </c>
      <c r="G42" s="6" t="s">
        <v>312</v>
      </c>
    </row>
    <row r="43" spans="1:7" ht="23.85">
      <c r="A43" s="6" t="s">
        <v>313</v>
      </c>
      <c r="B43" s="6" t="s">
        <v>314</v>
      </c>
      <c r="C43" s="6" t="s">
        <v>315</v>
      </c>
      <c r="D43" s="6"/>
      <c r="E43" s="6"/>
      <c r="F43" s="6" t="s">
        <v>316</v>
      </c>
      <c r="G43" s="6" t="s">
        <v>317</v>
      </c>
    </row>
    <row r="44" spans="1:7">
      <c r="A44" s="6" t="s">
        <v>151</v>
      </c>
      <c r="B44" s="6" t="s">
        <v>318</v>
      </c>
      <c r="C44" s="6" t="s">
        <v>319</v>
      </c>
      <c r="D44" s="6"/>
      <c r="E44" s="6"/>
      <c r="F44" s="6" t="s">
        <v>290</v>
      </c>
      <c r="G44" s="6" t="s">
        <v>320</v>
      </c>
    </row>
    <row r="45" spans="1:7">
      <c r="A45" s="6" t="s">
        <v>159</v>
      </c>
      <c r="B45" s="6" t="s">
        <v>321</v>
      </c>
      <c r="C45" s="6" t="s">
        <v>322</v>
      </c>
      <c r="D45" s="6"/>
      <c r="E45" s="6"/>
      <c r="F45" s="6" t="s">
        <v>323</v>
      </c>
      <c r="G45" s="6" t="s">
        <v>324</v>
      </c>
    </row>
    <row r="46" spans="1:7">
      <c r="A46" s="6" t="s">
        <v>167</v>
      </c>
      <c r="B46" s="6" t="s">
        <v>325</v>
      </c>
      <c r="C46" s="6" t="s">
        <v>326</v>
      </c>
      <c r="D46" s="6" t="s">
        <v>219</v>
      </c>
      <c r="E46" s="6" t="s">
        <v>226</v>
      </c>
      <c r="F46" s="6" t="s">
        <v>221</v>
      </c>
      <c r="G46" s="6" t="s">
        <v>327</v>
      </c>
    </row>
    <row r="48" spans="1:7">
      <c r="A48" s="13" t="s">
        <v>328</v>
      </c>
    </row>
    <row r="49" spans="1:3" ht="23.85">
      <c r="A49" s="5" t="s">
        <v>173</v>
      </c>
      <c r="B49" s="5" t="s">
        <v>329</v>
      </c>
      <c r="C49" s="5" t="s">
        <v>330</v>
      </c>
    </row>
    <row r="50" spans="1:3">
      <c r="A50" s="6" t="s">
        <v>29</v>
      </c>
      <c r="B50" s="6">
        <v>1062</v>
      </c>
      <c r="C50" s="6" t="s">
        <v>331</v>
      </c>
    </row>
    <row r="51" spans="1:3">
      <c r="A51" s="6" t="s">
        <v>70</v>
      </c>
      <c r="B51" s="6">
        <v>1455</v>
      </c>
      <c r="C51" s="6" t="s">
        <v>332</v>
      </c>
    </row>
    <row r="52" spans="1:3">
      <c r="A52" s="6" t="s">
        <v>85</v>
      </c>
      <c r="B52" s="6">
        <v>2383</v>
      </c>
      <c r="C52" s="6"/>
    </row>
    <row r="53" spans="1:3">
      <c r="A53" s="6" t="s">
        <v>99</v>
      </c>
      <c r="B53" s="6">
        <v>1920</v>
      </c>
      <c r="C53" s="6"/>
    </row>
    <row r="54" spans="1:3">
      <c r="A54" s="6" t="s">
        <v>111</v>
      </c>
      <c r="B54" s="6">
        <v>18</v>
      </c>
      <c r="C54" s="6"/>
    </row>
    <row r="55" spans="1:3">
      <c r="A55" s="6" t="s">
        <v>133</v>
      </c>
      <c r="B55" s="6">
        <v>894</v>
      </c>
      <c r="C55" s="6" t="s">
        <v>333</v>
      </c>
    </row>
    <row r="56" spans="1:3">
      <c r="A56" s="6" t="s">
        <v>152</v>
      </c>
      <c r="B56" s="6">
        <v>1782</v>
      </c>
      <c r="C56" s="6" t="s">
        <v>334</v>
      </c>
    </row>
    <row r="57" spans="1:3">
      <c r="A57" s="6" t="s">
        <v>160</v>
      </c>
      <c r="B57" s="6">
        <v>1504</v>
      </c>
      <c r="C57" s="6" t="s">
        <v>335</v>
      </c>
    </row>
    <row r="58" spans="1:3">
      <c r="A58" s="14" t="s">
        <v>336</v>
      </c>
      <c r="B58" s="14">
        <f>SUM(B50:B57)</f>
        <v>11018</v>
      </c>
      <c r="C58" s="14" t="s">
        <v>337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Sai Zaw</cp:lastModifiedBy>
  <cp:revision>0</cp:revision>
  <dcterms:created xsi:type="dcterms:W3CDTF">2026-10-01T19:07:16Z</dcterms:created>
  <dcterms:modified xsi:type="dcterms:W3CDTF">2026-10-01T20:34:31Z</dcterms:modified>
  <cp:category/>
  <cp:contentStatus/>
</cp:coreProperties>
</file>